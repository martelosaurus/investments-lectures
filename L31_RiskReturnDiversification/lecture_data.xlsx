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cture_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<sst xmlns="http://schemas.openxmlformats.org/spreadsheetml/2006/main" count="270" uniqueCount="267">
  <si>
    <t xml:space="preserve">PG</t>
  </si>
  <si>
    <t xml:space="preserve">MSFT</t>
  </si>
  <si>
    <t xml:space="preserve">AAPL</t>
  </si>
  <si>
    <t xml:space="preserve">Expected Return</t>
  </si>
  <si>
    <t xml:space="preserve">Volatility</t>
  </si>
  <si>
    <t xml:space="preserve">Correlation with Apple</t>
  </si>
  <si>
    <t xml:space="preserve">PG/AAPL Portfolio</t>
  </si>
  <si>
    <t xml:space="preserve">Percent in PG</t>
  </si>
  <si>
    <t xml:space="preserve">date</t>
  </si>
  <si>
    <t xml:space="preserve">PG_PRC</t>
  </si>
  <si>
    <t xml:space="preserve">PG_DIV</t>
  </si>
  <si>
    <t xml:space="preserve">PG_RET</t>
  </si>
  <si>
    <t xml:space="preserve">MSFT_PRC</t>
  </si>
  <si>
    <t xml:space="preserve">MSFT_DIV</t>
  </si>
  <si>
    <t xml:space="preserve">MSFT_RET</t>
  </si>
  <si>
    <t xml:space="preserve">AAPL_PRC</t>
  </si>
  <si>
    <t xml:space="preserve">AAPL_DIV</t>
  </si>
  <si>
    <t xml:space="preserve">AAPL_RET</t>
  </si>
  <si>
    <t xml:space="preserve">1999-12-31</t>
  </si>
  <si>
    <t xml:space="preserve">2000-01-31</t>
  </si>
  <si>
    <t xml:space="preserve">2000-02-29</t>
  </si>
  <si>
    <t xml:space="preserve">2000-03-31</t>
  </si>
  <si>
    <t xml:space="preserve">2000-04-28</t>
  </si>
  <si>
    <t xml:space="preserve">2000-05-31</t>
  </si>
  <si>
    <t xml:space="preserve">2000-06-30</t>
  </si>
  <si>
    <t xml:space="preserve">2000-07-31</t>
  </si>
  <si>
    <t xml:space="preserve">2000-08-31</t>
  </si>
  <si>
    <t xml:space="preserve">2000-09-29</t>
  </si>
  <si>
    <t xml:space="preserve">2000-10-31</t>
  </si>
  <si>
    <t xml:space="preserve">2000-11-30</t>
  </si>
  <si>
    <t xml:space="preserve">2000-12-29</t>
  </si>
  <si>
    <t xml:space="preserve">2001-01-31</t>
  </si>
  <si>
    <t xml:space="preserve">2001-02-28</t>
  </si>
  <si>
    <t xml:space="preserve">2001-03-30</t>
  </si>
  <si>
    <t xml:space="preserve">2001-04-30</t>
  </si>
  <si>
    <t xml:space="preserve">2001-05-31</t>
  </si>
  <si>
    <t xml:space="preserve">2001-06-29</t>
  </si>
  <si>
    <t xml:space="preserve">2001-07-31</t>
  </si>
  <si>
    <t xml:space="preserve">2001-08-31</t>
  </si>
  <si>
    <t xml:space="preserve">2001-09-28</t>
  </si>
  <si>
    <t xml:space="preserve">2001-10-31</t>
  </si>
  <si>
    <t xml:space="preserve">2001-11-30</t>
  </si>
  <si>
    <t xml:space="preserve">2001-12-31</t>
  </si>
  <si>
    <t xml:space="preserve">2002-01-31</t>
  </si>
  <si>
    <t xml:space="preserve">2002-02-28</t>
  </si>
  <si>
    <t xml:space="preserve">2002-03-28</t>
  </si>
  <si>
    <t xml:space="preserve">2002-04-30</t>
  </si>
  <si>
    <t xml:space="preserve">2002-05-31</t>
  </si>
  <si>
    <t xml:space="preserve">2002-06-28</t>
  </si>
  <si>
    <t xml:space="preserve">2002-07-31</t>
  </si>
  <si>
    <t xml:space="preserve">2002-08-30</t>
  </si>
  <si>
    <t xml:space="preserve">2002-09-30</t>
  </si>
  <si>
    <t xml:space="preserve">2002-10-31</t>
  </si>
  <si>
    <t xml:space="preserve">2002-11-29</t>
  </si>
  <si>
    <t xml:space="preserve">2002-12-31</t>
  </si>
  <si>
    <t xml:space="preserve">2003-01-31</t>
  </si>
  <si>
    <t xml:space="preserve">2003-02-28</t>
  </si>
  <si>
    <t xml:space="preserve">2003-03-31</t>
  </si>
  <si>
    <t xml:space="preserve">2003-04-30</t>
  </si>
  <si>
    <t xml:space="preserve">2003-05-30</t>
  </si>
  <si>
    <t xml:space="preserve">2003-06-30</t>
  </si>
  <si>
    <t xml:space="preserve">2003-07-31</t>
  </si>
  <si>
    <t xml:space="preserve">2003-08-29</t>
  </si>
  <si>
    <t xml:space="preserve">2003-09-30</t>
  </si>
  <si>
    <t xml:space="preserve">2003-10-31</t>
  </si>
  <si>
    <t xml:space="preserve">2003-11-28</t>
  </si>
  <si>
    <t xml:space="preserve">2003-12-31</t>
  </si>
  <si>
    <t xml:space="preserve">2004-01-30</t>
  </si>
  <si>
    <t xml:space="preserve">2004-02-27</t>
  </si>
  <si>
    <t xml:space="preserve">2004-03-31</t>
  </si>
  <si>
    <t xml:space="preserve">2004-04-30</t>
  </si>
  <si>
    <t xml:space="preserve">2004-05-28</t>
  </si>
  <si>
    <t xml:space="preserve">2004-06-30</t>
  </si>
  <si>
    <t xml:space="preserve">2004-07-30</t>
  </si>
  <si>
    <t xml:space="preserve">2004-08-31</t>
  </si>
  <si>
    <t xml:space="preserve">2004-09-30</t>
  </si>
  <si>
    <t xml:space="preserve">2004-10-29</t>
  </si>
  <si>
    <t xml:space="preserve">2004-11-30</t>
  </si>
  <si>
    <t xml:space="preserve">2004-12-31</t>
  </si>
  <si>
    <t xml:space="preserve">2005-01-31</t>
  </si>
  <si>
    <t xml:space="preserve">2005-02-28</t>
  </si>
  <si>
    <t xml:space="preserve">2005-03-31</t>
  </si>
  <si>
    <t xml:space="preserve">2005-04-29</t>
  </si>
  <si>
    <t xml:space="preserve">2005-05-31</t>
  </si>
  <si>
    <t xml:space="preserve">2005-06-30</t>
  </si>
  <si>
    <t xml:space="preserve">2005-07-29</t>
  </si>
  <si>
    <t xml:space="preserve">2005-08-31</t>
  </si>
  <si>
    <t xml:space="preserve">2005-09-30</t>
  </si>
  <si>
    <t xml:space="preserve">2005-10-31</t>
  </si>
  <si>
    <t xml:space="preserve">2005-11-30</t>
  </si>
  <si>
    <t xml:space="preserve">2005-12-30</t>
  </si>
  <si>
    <t xml:space="preserve">2006-01-31</t>
  </si>
  <si>
    <t xml:space="preserve">2006-02-28</t>
  </si>
  <si>
    <t xml:space="preserve">2006-03-31</t>
  </si>
  <si>
    <t xml:space="preserve">2006-04-28</t>
  </si>
  <si>
    <t xml:space="preserve">2006-05-31</t>
  </si>
  <si>
    <t xml:space="preserve">2006-06-30</t>
  </si>
  <si>
    <t xml:space="preserve">2006-07-31</t>
  </si>
  <si>
    <t xml:space="preserve">2006-08-31</t>
  </si>
  <si>
    <t xml:space="preserve">2006-09-29</t>
  </si>
  <si>
    <t xml:space="preserve">2006-10-31</t>
  </si>
  <si>
    <t xml:space="preserve">2006-11-30</t>
  </si>
  <si>
    <t xml:space="preserve">2006-12-29</t>
  </si>
  <si>
    <t xml:space="preserve">2007-01-31</t>
  </si>
  <si>
    <t xml:space="preserve">2007-02-28</t>
  </si>
  <si>
    <t xml:space="preserve">2007-03-30</t>
  </si>
  <si>
    <t xml:space="preserve">2007-04-30</t>
  </si>
  <si>
    <t xml:space="preserve">2007-05-31</t>
  </si>
  <si>
    <t xml:space="preserve">2007-06-29</t>
  </si>
  <si>
    <t xml:space="preserve">2007-07-31</t>
  </si>
  <si>
    <t xml:space="preserve">2007-08-31</t>
  </si>
  <si>
    <t xml:space="preserve">2007-09-28</t>
  </si>
  <si>
    <t xml:space="preserve">2007-10-31</t>
  </si>
  <si>
    <t xml:space="preserve">2007-11-30</t>
  </si>
  <si>
    <t xml:space="preserve">2007-12-31</t>
  </si>
  <si>
    <t xml:space="preserve">2008-01-31</t>
  </si>
  <si>
    <t xml:space="preserve">2008-02-29</t>
  </si>
  <si>
    <t xml:space="preserve">2008-03-31</t>
  </si>
  <si>
    <t xml:space="preserve">2008-04-30</t>
  </si>
  <si>
    <t xml:space="preserve">2008-05-30</t>
  </si>
  <si>
    <t xml:space="preserve">2008-06-30</t>
  </si>
  <si>
    <t xml:space="preserve">2008-07-31</t>
  </si>
  <si>
    <t xml:space="preserve">2008-08-29</t>
  </si>
  <si>
    <t xml:space="preserve">2008-09-30</t>
  </si>
  <si>
    <t xml:space="preserve">2008-10-31</t>
  </si>
  <si>
    <t xml:space="preserve">2008-11-28</t>
  </si>
  <si>
    <t xml:space="preserve">2008-12-31</t>
  </si>
  <si>
    <t xml:space="preserve">2009-01-30</t>
  </si>
  <si>
    <t xml:space="preserve">2009-02-27</t>
  </si>
  <si>
    <t xml:space="preserve">2009-03-31</t>
  </si>
  <si>
    <t xml:space="preserve">2009-04-30</t>
  </si>
  <si>
    <t xml:space="preserve">2009-05-29</t>
  </si>
  <si>
    <t xml:space="preserve">2009-06-30</t>
  </si>
  <si>
    <t xml:space="preserve">2009-07-31</t>
  </si>
  <si>
    <t xml:space="preserve">2009-08-31</t>
  </si>
  <si>
    <t xml:space="preserve">2009-09-30</t>
  </si>
  <si>
    <t xml:space="preserve">2009-10-30</t>
  </si>
  <si>
    <t xml:space="preserve">2009-11-30</t>
  </si>
  <si>
    <t xml:space="preserve">2009-12-31</t>
  </si>
  <si>
    <t xml:space="preserve">2010-01-29</t>
  </si>
  <si>
    <t xml:space="preserve">2010-02-26</t>
  </si>
  <si>
    <t xml:space="preserve">2010-03-31</t>
  </si>
  <si>
    <t xml:space="preserve">2010-04-30</t>
  </si>
  <si>
    <t xml:space="preserve">2010-05-28</t>
  </si>
  <si>
    <t xml:space="preserve">2010-06-30</t>
  </si>
  <si>
    <t xml:space="preserve">2010-07-30</t>
  </si>
  <si>
    <t xml:space="preserve">2010-08-31</t>
  </si>
  <si>
    <t xml:space="preserve">2010-09-30</t>
  </si>
  <si>
    <t xml:space="preserve">2010-10-29</t>
  </si>
  <si>
    <t xml:space="preserve">2010-11-30</t>
  </si>
  <si>
    <t xml:space="preserve">2010-12-31</t>
  </si>
  <si>
    <t xml:space="preserve">2011-01-31</t>
  </si>
  <si>
    <t xml:space="preserve">2011-02-28</t>
  </si>
  <si>
    <t xml:space="preserve">2011-03-31</t>
  </si>
  <si>
    <t xml:space="preserve">2011-04-29</t>
  </si>
  <si>
    <t xml:space="preserve">2011-05-31</t>
  </si>
  <si>
    <t xml:space="preserve">2011-06-30</t>
  </si>
  <si>
    <t xml:space="preserve">2011-07-29</t>
  </si>
  <si>
    <t xml:space="preserve">2011-08-31</t>
  </si>
  <si>
    <t xml:space="preserve">2011-09-30</t>
  </si>
  <si>
    <t xml:space="preserve">2011-10-31</t>
  </si>
  <si>
    <t xml:space="preserve">2011-11-30</t>
  </si>
  <si>
    <t xml:space="preserve">2011-12-30</t>
  </si>
  <si>
    <t xml:space="preserve">2012-01-31</t>
  </si>
  <si>
    <t xml:space="preserve">2012-02-29</t>
  </si>
  <si>
    <t xml:space="preserve">2012-03-30</t>
  </si>
  <si>
    <t xml:space="preserve">2012-04-30</t>
  </si>
  <si>
    <t xml:space="preserve">2012-05-31</t>
  </si>
  <si>
    <t xml:space="preserve">2012-06-29</t>
  </si>
  <si>
    <t xml:space="preserve">2012-07-31</t>
  </si>
  <si>
    <t xml:space="preserve">2012-08-31</t>
  </si>
  <si>
    <t xml:space="preserve">2012-09-28</t>
  </si>
  <si>
    <t xml:space="preserve">2012-10-31</t>
  </si>
  <si>
    <t xml:space="preserve">2012-11-30</t>
  </si>
  <si>
    <t xml:space="preserve">2012-12-31</t>
  </si>
  <si>
    <t xml:space="preserve">2013-01-31</t>
  </si>
  <si>
    <t xml:space="preserve">2013-02-28</t>
  </si>
  <si>
    <t xml:space="preserve">2013-03-28</t>
  </si>
  <si>
    <t xml:space="preserve">2013-04-30</t>
  </si>
  <si>
    <t xml:space="preserve">2013-05-31</t>
  </si>
  <si>
    <t xml:space="preserve">2013-06-28</t>
  </si>
  <si>
    <t xml:space="preserve">2013-07-31</t>
  </si>
  <si>
    <t xml:space="preserve">2013-08-30</t>
  </si>
  <si>
    <t xml:space="preserve">2013-09-30</t>
  </si>
  <si>
    <t xml:space="preserve">2013-10-31</t>
  </si>
  <si>
    <t xml:space="preserve">2013-11-29</t>
  </si>
  <si>
    <t xml:space="preserve">2013-12-31</t>
  </si>
  <si>
    <t xml:space="preserve">2014-01-31</t>
  </si>
  <si>
    <t xml:space="preserve">2014-02-28</t>
  </si>
  <si>
    <t xml:space="preserve">2014-03-31</t>
  </si>
  <si>
    <t xml:space="preserve">2014-04-30</t>
  </si>
  <si>
    <t xml:space="preserve">2014-05-30</t>
  </si>
  <si>
    <t xml:space="preserve">2014-06-30</t>
  </si>
  <si>
    <t xml:space="preserve">2014-07-31</t>
  </si>
  <si>
    <t xml:space="preserve">2014-08-29</t>
  </si>
  <si>
    <t xml:space="preserve">2014-09-30</t>
  </si>
  <si>
    <t xml:space="preserve">2014-10-31</t>
  </si>
  <si>
    <t xml:space="preserve">2014-11-28</t>
  </si>
  <si>
    <t xml:space="preserve">2014-12-31</t>
  </si>
  <si>
    <t xml:space="preserve">2015-01-30</t>
  </si>
  <si>
    <t xml:space="preserve">2015-02-27</t>
  </si>
  <si>
    <t xml:space="preserve">2015-03-31</t>
  </si>
  <si>
    <t xml:space="preserve">2015-04-30</t>
  </si>
  <si>
    <t xml:space="preserve">2015-05-29</t>
  </si>
  <si>
    <t xml:space="preserve">2015-06-30</t>
  </si>
  <si>
    <t xml:space="preserve">2015-07-31</t>
  </si>
  <si>
    <t xml:space="preserve">2015-08-31</t>
  </si>
  <si>
    <t xml:space="preserve">2015-09-30</t>
  </si>
  <si>
    <t xml:space="preserve">2015-10-30</t>
  </si>
  <si>
    <t xml:space="preserve">2015-11-30</t>
  </si>
  <si>
    <t xml:space="preserve">2015-12-31</t>
  </si>
  <si>
    <t xml:space="preserve">2016-01-29</t>
  </si>
  <si>
    <t xml:space="preserve">2016-02-29</t>
  </si>
  <si>
    <t xml:space="preserve">2016-03-31</t>
  </si>
  <si>
    <t xml:space="preserve">2016-04-29</t>
  </si>
  <si>
    <t xml:space="preserve">2016-05-31</t>
  </si>
  <si>
    <t xml:space="preserve">2016-06-30</t>
  </si>
  <si>
    <t xml:space="preserve">2016-07-29</t>
  </si>
  <si>
    <t xml:space="preserve">2016-08-31</t>
  </si>
  <si>
    <t xml:space="preserve">2016-09-30</t>
  </si>
  <si>
    <t xml:space="preserve">2016-10-31</t>
  </si>
  <si>
    <t xml:space="preserve">2016-11-30</t>
  </si>
  <si>
    <t xml:space="preserve">2016-12-30</t>
  </si>
  <si>
    <t xml:space="preserve">2017-01-31</t>
  </si>
  <si>
    <t xml:space="preserve">2017-02-28</t>
  </si>
  <si>
    <t xml:space="preserve">2017-03-31</t>
  </si>
  <si>
    <t xml:space="preserve">2017-04-28</t>
  </si>
  <si>
    <t xml:space="preserve">2017-05-31</t>
  </si>
  <si>
    <t xml:space="preserve">2017-06-30</t>
  </si>
  <si>
    <t xml:space="preserve">2017-07-31</t>
  </si>
  <si>
    <t xml:space="preserve">2017-08-31</t>
  </si>
  <si>
    <t xml:space="preserve">2017-09-29</t>
  </si>
  <si>
    <t xml:space="preserve">2017-10-31</t>
  </si>
  <si>
    <t xml:space="preserve">2017-11-30</t>
  </si>
  <si>
    <t xml:space="preserve">2017-12-29</t>
  </si>
  <si>
    <t xml:space="preserve">2018-01-31</t>
  </si>
  <si>
    <t xml:space="preserve">2018-02-28</t>
  </si>
  <si>
    <t xml:space="preserve">2018-03-29</t>
  </si>
  <si>
    <t xml:space="preserve">2018-04-30</t>
  </si>
  <si>
    <t xml:space="preserve">2018-05-31</t>
  </si>
  <si>
    <t xml:space="preserve">2018-06-29</t>
  </si>
  <si>
    <t xml:space="preserve">2018-07-31</t>
  </si>
  <si>
    <t xml:space="preserve">2018-08-31</t>
  </si>
  <si>
    <t xml:space="preserve">2018-09-28</t>
  </si>
  <si>
    <t xml:space="preserve">2018-10-31</t>
  </si>
  <si>
    <t xml:space="preserve">2018-11-30</t>
  </si>
  <si>
    <t xml:space="preserve">2018-12-31</t>
  </si>
  <si>
    <t xml:space="preserve">2019-01-31</t>
  </si>
  <si>
    <t xml:space="preserve">2019-02-28</t>
  </si>
  <si>
    <t xml:space="preserve">2019-03-29</t>
  </si>
  <si>
    <t xml:space="preserve">2019-04-30</t>
  </si>
  <si>
    <t xml:space="preserve">2019-05-31</t>
  </si>
  <si>
    <t xml:space="preserve">2019-06-28</t>
  </si>
  <si>
    <t xml:space="preserve">2019-07-31</t>
  </si>
  <si>
    <t xml:space="preserve">2019-08-30</t>
  </si>
  <si>
    <t xml:space="preserve">2019-09-30</t>
  </si>
  <si>
    <t xml:space="preserve">2019-10-31</t>
  </si>
  <si>
    <t xml:space="preserve">2019-11-29</t>
  </si>
  <si>
    <t xml:space="preserve">2019-12-31</t>
  </si>
  <si>
    <t xml:space="preserve">2020-01-31</t>
  </si>
  <si>
    <t xml:space="preserve">2020-02-28</t>
  </si>
  <si>
    <t xml:space="preserve">2020-03-31</t>
  </si>
  <si>
    <t xml:space="preserve">2020-04-30</t>
  </si>
  <si>
    <t xml:space="preserve">2020-05-29</t>
  </si>
  <si>
    <t xml:space="preserve">2020-06-30</t>
  </si>
  <si>
    <t xml:space="preserve">2020-07-31</t>
  </si>
  <si>
    <t xml:space="preserve">2020-08-31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</si>
</sst>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0.0000"/>
    <numFmt numFmtId="167" formatCode="@"/>
  </numFmts>
  <fonts count="1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sz val="10"/>
      <color rgb="FF333333"/>
      <name val="Arial"/>
      <family val="2"/>
    </font>
    <font>
      <i val="true"/>
      <sz val="10"/>
      <color rgb="FF808080"/>
      <name val="Arial"/>
      <family val="2"/>
    </font>
    <font>
      <u val="single"/>
      <sz val="10"/>
      <color rgb="FF0000EE"/>
      <name val="Arial"/>
      <family val="2"/>
    </font>
    <font>
      <sz val="10"/>
      <color rgb="FF006600"/>
      <name val="Arial"/>
      <family val="2"/>
    </font>
    <font>
      <sz val="10"/>
      <color rgb="FF996600"/>
      <name val="Arial"/>
      <family val="2"/>
    </font>
    <font>
      <sz val="10"/>
      <color rgb="FFCC0000"/>
      <name val="Arial"/>
      <family val="2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FFFFFF"/>
      <name val="Arial"/>
      <family val="2"/>
    </font>
    <font>
      <b val="true"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7" fillId="2" borderId="1" applyFont="true" applyBorder="true" applyAlignment="false" applyProtection="false"/>
    <xf numFmtId="164" fontId="8" fillId="0" borderId="0" applyFont="true" applyBorder="false" applyAlignment="false" applyProtection="false"/>
    <xf numFmtId="164" fontId="9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10" fillId="3" borderId="0" applyFont="true" applyBorder="false" applyAlignment="false" applyProtection="false"/>
    <xf numFmtId="164" fontId="11" fillId="2" borderId="0" applyFont="true" applyBorder="false" applyAlignment="false" applyProtection="false"/>
    <xf numFmtId="164" fontId="12" fillId="4" borderId="0" applyFont="true" applyBorder="false" applyAlignment="false" applyProtection="false"/>
    <xf numFmtId="164" fontId="12" fillId="0" borderId="0" applyFont="true" applyBorder="false" applyAlignment="false" applyProtection="false"/>
    <xf numFmtId="164" fontId="13" fillId="5" borderId="0" applyFont="true" applyBorder="false" applyAlignment="false" applyProtection="false"/>
    <xf numFmtId="164" fontId="14" fillId="0" borderId="0" applyFont="true" applyBorder="false" applyAlignment="false" applyProtection="false"/>
    <xf numFmtId="164" fontId="15" fillId="6" borderId="0" applyFont="true" applyBorder="false" applyAlignment="false" applyProtection="false"/>
    <xf numFmtId="164" fontId="15" fillId="7" borderId="0" applyFont="true" applyBorder="false" applyAlignment="false" applyProtection="false"/>
    <xf numFmtId="164" fontId="14" fillId="8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" xfId="20"/>
    <cellStyle name="Heading 1" xfId="21"/>
    <cellStyle name="Heading 2" xfId="22"/>
    <cellStyle name="Text" xfId="23"/>
    <cellStyle name="Note" xfId="24"/>
    <cellStyle name="Footnote" xfId="25"/>
    <cellStyle name="Hyperlink" xfId="26"/>
    <cellStyle name="Status" xfId="27"/>
    <cellStyle name="Good" xfId="28"/>
    <cellStyle name="Neutral" xfId="29"/>
    <cellStyle name="Bad" xfId="30"/>
    <cellStyle name="Warning" xfId="31"/>
    <cellStyle name="Error" xfId="32"/>
    <cellStyle name="Accent" xfId="33"/>
    <cellStyle name="Accent 1" xfId="34"/>
    <cellStyle name="Accent 2" xfId="35"/>
    <cellStyle name="Accent 3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60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J11" activeCellId="0" sqref="J11"/>
    </sheetView>
  </sheetViews>
  <sheetFormatPr defaultRowHeight="12.8" zeroHeight="false" outlineLevelRow="0" outlineLevelCol="0"/>
  <cols>
    <col collapsed="false" customWidth="true" hidden="false" outlineLevel="0" max="1" min="1" style="0" width="20.83"/>
    <col collapsed="false" customWidth="true" hidden="true" outlineLevel="0" max="2" min="2" style="0" width="8.94"/>
    <col collapsed="false" customWidth="true" hidden="true" outlineLevel="0" max="3" min="3" style="0" width="9.46"/>
    <col collapsed="false" customWidth="true" hidden="false" outlineLevel="0" max="4" min="4" style="0" width="11.3"/>
    <col collapsed="false" customWidth="true" hidden="true" outlineLevel="0" max="5" min="5" style="0" width="11.3"/>
    <col collapsed="false" customWidth="true" hidden="true" outlineLevel="0" max="6" min="6" style="0" width="10.6"/>
    <col collapsed="false" customWidth="true" hidden="false" outlineLevel="0" max="7" min="7" style="0" width="11.02"/>
    <col collapsed="false" customWidth="true" hidden="true" outlineLevel="0" max="8" min="8" style="0" width="11.02"/>
    <col collapsed="false" customWidth="true" hidden="true" outlineLevel="0" max="9" min="9" style="0" width="10.32"/>
    <col collapsed="false" customWidth="false" hidden="false" outlineLevel="0" max="1025" min="10" style="0" width="11.52"/>
  </cols>
  <sheetData>
    <row r="1" customFormat="false" ht="12.8" hidden="false" customHeight="false" outlineLevel="0" collapsed="false">
      <c r="A1" s="1"/>
      <c r="B1" s="1"/>
      <c r="C1" s="1"/>
      <c r="D1" s="1" t="s">
        <v>0</v>
      </c>
      <c r="E1" s="1"/>
      <c r="F1" s="1"/>
      <c r="G1" s="1" t="s">
        <v>1</v>
      </c>
      <c r="H1" s="0" t="s">
        <v>2</v>
      </c>
      <c r="J1" s="1" t="s">
        <v>2</v>
      </c>
    </row>
    <row r="2" customFormat="false" ht="12.8" hidden="false" customHeight="false" outlineLevel="0" collapsed="false">
      <c r="A2" s="2" t="s">
        <v>3</v>
      </c>
      <c r="B2" s="1"/>
      <c r="C2" s="1"/>
      <c r="D2" s="3" t="n">
        <f aca="false">AVERAGE(D13:D260)</f>
        <v>0.0109202255394154</v>
      </c>
      <c r="E2" s="2"/>
      <c r="F2" s="2"/>
      <c r="G2" s="3" t="n">
        <f aca="false">AVERAGE(G13:G260)</f>
        <v>0.0130626983617073</v>
      </c>
      <c r="H2" s="2"/>
      <c r="I2" s="2"/>
      <c r="J2" s="3" t="n">
        <f aca="false">AVERAGE(J13:J260)</f>
        <v>0.0356079219874942</v>
      </c>
    </row>
    <row r="3" customFormat="false" ht="12.8" hidden="false" customHeight="false" outlineLevel="0" collapsed="false">
      <c r="A3" s="2" t="s">
        <v>4</v>
      </c>
      <c r="B3" s="1"/>
      <c r="C3" s="1"/>
      <c r="D3" s="3" t="n">
        <f aca="false">_xlfn.STDEV.S(D13:D260)</f>
        <v>0.0521173847516906</v>
      </c>
      <c r="E3" s="3"/>
      <c r="F3" s="3"/>
      <c r="G3" s="3" t="n">
        <f aca="false">_xlfn.STDEV.S(G13:G260)</f>
        <v>0.0844556052622395</v>
      </c>
      <c r="H3" s="3"/>
      <c r="I3" s="3"/>
      <c r="J3" s="3" t="n">
        <f aca="false">_xlfn.STDEV.S(J13:J260)</f>
        <v>0.122091982062562</v>
      </c>
    </row>
    <row r="4" customFormat="false" ht="12.8" hidden="false" customHeight="false" outlineLevel="0" collapsed="false">
      <c r="A4" s="2" t="s">
        <v>5</v>
      </c>
      <c r="B4" s="1"/>
      <c r="C4" s="1"/>
      <c r="D4" s="4" t="n">
        <f aca="false">CORREL(D13:D260,J13:J260)</f>
        <v>-0.0540549179693433</v>
      </c>
      <c r="E4" s="4"/>
      <c r="F4" s="4"/>
      <c r="G4" s="4" t="n">
        <f aca="false">CORREL(G13:G260,J13:J260)</f>
        <v>0.482403452076162</v>
      </c>
      <c r="H4" s="4"/>
      <c r="I4" s="4"/>
      <c r="J4" s="4" t="n">
        <f aca="false">CORREL(J13:J260,J13:J260)</f>
        <v>1</v>
      </c>
    </row>
    <row r="5" customFormat="false" ht="12.8" hidden="false" customHeight="false" outlineLevel="0" collapsed="false">
      <c r="A5" s="2"/>
      <c r="B5" s="1"/>
      <c r="C5" s="1"/>
      <c r="D5" s="4"/>
      <c r="E5" s="4"/>
      <c r="F5" s="4"/>
      <c r="G5" s="4"/>
      <c r="H5" s="4"/>
      <c r="I5" s="4"/>
      <c r="J5" s="4"/>
    </row>
    <row r="6" customFormat="false" ht="12.8" hidden="false" customHeight="false" outlineLevel="0" collapsed="false">
      <c r="A6" s="2"/>
      <c r="B6" s="1"/>
      <c r="C6" s="1"/>
      <c r="D6" s="1" t="s">
        <v>6</v>
      </c>
      <c r="E6" s="1"/>
      <c r="F6" s="1"/>
      <c r="G6" s="1"/>
      <c r="H6" s="1"/>
      <c r="I6" s="1"/>
      <c r="J6" s="1"/>
    </row>
    <row r="7" customFormat="false" ht="12.8" hidden="false" customHeight="false" outlineLevel="0" collapsed="false">
      <c r="A7" s="2" t="s">
        <v>7</v>
      </c>
      <c r="B7" s="1"/>
      <c r="C7" s="1"/>
      <c r="D7" s="3" t="n">
        <v>0.5</v>
      </c>
      <c r="E7" s="2"/>
      <c r="F7" s="2"/>
      <c r="G7" s="2"/>
      <c r="H7" s="2"/>
      <c r="I7" s="2"/>
      <c r="J7" s="2"/>
    </row>
    <row r="8" customFormat="false" ht="12.8" hidden="false" customHeight="false" outlineLevel="0" collapsed="false">
      <c r="A8" s="2" t="s">
        <v>3</v>
      </c>
      <c r="B8" s="1"/>
      <c r="C8" s="1"/>
      <c r="D8" s="3" t="n">
        <f aca="false">D7*D2+(1-D7)*J2</f>
        <v>0.0232640737634548</v>
      </c>
      <c r="E8" s="2"/>
      <c r="F8" s="2"/>
      <c r="G8" s="2"/>
      <c r="H8" s="2"/>
      <c r="I8" s="2"/>
      <c r="J8" s="2"/>
    </row>
    <row r="9" customFormat="false" ht="12.8" hidden="false" customHeight="false" outlineLevel="0" collapsed="false">
      <c r="A9" s="2" t="s">
        <v>4</v>
      </c>
      <c r="B9" s="1"/>
      <c r="C9" s="1"/>
      <c r="D9" s="3" t="n">
        <f aca="false">SQRT((D7*D3)^2+((1-D7)*J3)^2+2*D7*(1-D7)*D3*J3*D4)</f>
        <v>0.0650668090883787</v>
      </c>
      <c r="E9" s="2"/>
      <c r="F9" s="2"/>
      <c r="G9" s="2"/>
      <c r="H9" s="2"/>
      <c r="I9" s="2"/>
      <c r="J9" s="2"/>
    </row>
    <row r="10" customFormat="false" ht="12.8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customFormat="false" ht="12.8" hidden="false" customHeight="false" outlineLevel="0" collapsed="false">
      <c r="A11" s="1" t="s">
        <v>8</v>
      </c>
      <c r="B11" s="1" t="s">
        <v>9</v>
      </c>
      <c r="C11" s="1" t="s">
        <v>10</v>
      </c>
      <c r="D11" s="1" t="s">
        <v>11</v>
      </c>
      <c r="E11" s="1" t="s">
        <v>12</v>
      </c>
      <c r="F11" s="1" t="s">
        <v>13</v>
      </c>
      <c r="G11" s="1" t="s">
        <v>14</v>
      </c>
      <c r="H11" s="1" t="s">
        <v>15</v>
      </c>
      <c r="I11" s="1" t="s">
        <v>16</v>
      </c>
      <c r="J11" s="1" t="s">
        <v>17</v>
      </c>
    </row>
    <row r="12" customFormat="false" ht="12.8" hidden="false" customHeight="false" outlineLevel="0" collapsed="false">
      <c r="A12" s="5" t="s">
        <v>18</v>
      </c>
      <c r="B12" s="0" t="n">
        <v>31.7005</v>
      </c>
      <c r="C12" s="0" t="n">
        <v>0</v>
      </c>
      <c r="E12" s="0" t="n">
        <v>37.3418</v>
      </c>
      <c r="F12" s="0" t="n">
        <v>0</v>
      </c>
      <c r="H12" s="0" t="n">
        <v>0.7931</v>
      </c>
      <c r="I12" s="0" t="n">
        <v>0</v>
      </c>
    </row>
    <row r="13" customFormat="false" ht="12.8" hidden="false" customHeight="false" outlineLevel="0" collapsed="false">
      <c r="A13" s="5" t="s">
        <v>19</v>
      </c>
      <c r="B13" s="0" t="n">
        <v>29.3231</v>
      </c>
      <c r="C13" s="0" t="n">
        <v>0.32</v>
      </c>
      <c r="D13" s="6" t="n">
        <f aca="false">(B13+C13-B12)/B12</f>
        <v>-0.0649011845239034</v>
      </c>
      <c r="E13" s="0" t="n">
        <v>31.3032</v>
      </c>
      <c r="F13" s="0" t="n">
        <v>0</v>
      </c>
      <c r="G13" s="6" t="n">
        <f aca="false">(E13+F13-E12)/E12</f>
        <v>-0.161711540418512</v>
      </c>
      <c r="H13" s="0" t="n">
        <v>0.8004</v>
      </c>
      <c r="I13" s="0" t="n">
        <v>0</v>
      </c>
      <c r="J13" s="6" t="n">
        <f aca="false">(H13+I13-H12)/H12</f>
        <v>0.00920438784516451</v>
      </c>
    </row>
    <row r="14" customFormat="false" ht="12.8" hidden="false" customHeight="false" outlineLevel="0" collapsed="false">
      <c r="A14" s="5" t="s">
        <v>20</v>
      </c>
      <c r="B14" s="0" t="n">
        <v>25.4887</v>
      </c>
      <c r="C14" s="0" t="n">
        <v>0</v>
      </c>
      <c r="D14" s="6" t="n">
        <f aca="false">(B14+C14-B13)/B13</f>
        <v>-0.130763800553147</v>
      </c>
      <c r="E14" s="0" t="n">
        <v>28.5845</v>
      </c>
      <c r="F14" s="0" t="n">
        <v>0</v>
      </c>
      <c r="G14" s="6" t="n">
        <f aca="false">(E14+F14-E13)/E13</f>
        <v>-0.0868505456311176</v>
      </c>
      <c r="H14" s="0" t="n">
        <v>0.8842</v>
      </c>
      <c r="I14" s="0" t="n">
        <v>0</v>
      </c>
      <c r="J14" s="6" t="n">
        <f aca="false">(H14+I14-H13)/H13</f>
        <v>0.104697651174413</v>
      </c>
    </row>
    <row r="15" customFormat="false" ht="12.8" hidden="false" customHeight="false" outlineLevel="0" collapsed="false">
      <c r="A15" s="5" t="s">
        <v>21</v>
      </c>
      <c r="B15" s="0" t="n">
        <v>16.4598</v>
      </c>
      <c r="C15" s="0" t="n">
        <v>0</v>
      </c>
      <c r="D15" s="6" t="n">
        <f aca="false">(B15+C15-B14)/B14</f>
        <v>-0.354231482970885</v>
      </c>
      <c r="E15" s="0" t="n">
        <v>33.9835</v>
      </c>
      <c r="F15" s="0" t="n">
        <v>0</v>
      </c>
      <c r="G15" s="6" t="n">
        <f aca="false">(E15+F15-E14)/E14</f>
        <v>0.188878588045969</v>
      </c>
      <c r="H15" s="0" t="n">
        <v>1.0477</v>
      </c>
      <c r="I15" s="0" t="n">
        <v>0</v>
      </c>
      <c r="J15" s="6" t="n">
        <f aca="false">(H15+I15-H14)/H14</f>
        <v>0.184912915629948</v>
      </c>
    </row>
    <row r="16" customFormat="false" ht="12.8" hidden="false" customHeight="false" outlineLevel="0" collapsed="false">
      <c r="A16" s="5" t="s">
        <v>22</v>
      </c>
      <c r="B16" s="0" t="n">
        <v>17.4138</v>
      </c>
      <c r="C16" s="0" t="n">
        <v>0.32</v>
      </c>
      <c r="D16" s="6" t="n">
        <f aca="false">(B16+C16-B15)/B15</f>
        <v>0.0774006974568341</v>
      </c>
      <c r="E16" s="0" t="n">
        <v>22.3091</v>
      </c>
      <c r="F16" s="0" t="n">
        <v>0</v>
      </c>
      <c r="G16" s="6" t="n">
        <f aca="false">(E16+F16-E15)/E15</f>
        <v>-0.343531419659541</v>
      </c>
      <c r="H16" s="0" t="n">
        <v>0.9571</v>
      </c>
      <c r="I16" s="0" t="n">
        <v>0</v>
      </c>
      <c r="J16" s="6" t="n">
        <f aca="false">(H16+I16-H15)/H15</f>
        <v>-0.0864751360122173</v>
      </c>
    </row>
    <row r="17" customFormat="false" ht="12.8" hidden="false" customHeight="false" outlineLevel="0" collapsed="false">
      <c r="A17" s="5" t="s">
        <v>23</v>
      </c>
      <c r="B17" s="0" t="n">
        <v>19.3811</v>
      </c>
      <c r="C17" s="0" t="n">
        <v>0</v>
      </c>
      <c r="D17" s="6" t="n">
        <f aca="false">(B17+C17-B16)/B16</f>
        <v>0.11297361862431</v>
      </c>
      <c r="E17" s="0" t="n">
        <v>20.0095</v>
      </c>
      <c r="F17" s="0" t="n">
        <v>0</v>
      </c>
      <c r="G17" s="6" t="n">
        <f aca="false">(E17+F17-E16)/E16</f>
        <v>-0.103079012600239</v>
      </c>
      <c r="H17" s="0" t="n">
        <v>0.648</v>
      </c>
      <c r="I17" s="0" t="n">
        <v>0</v>
      </c>
      <c r="J17" s="6" t="n">
        <f aca="false">(H17+I17-H16)/H16</f>
        <v>-0.322954759168321</v>
      </c>
    </row>
    <row r="18" customFormat="false" ht="12.8" hidden="false" customHeight="false" outlineLevel="0" collapsed="false">
      <c r="A18" s="5" t="s">
        <v>24</v>
      </c>
      <c r="B18" s="0" t="n">
        <v>16.5395</v>
      </c>
      <c r="C18" s="0" t="n">
        <v>0</v>
      </c>
      <c r="D18" s="6" t="n">
        <f aca="false">(B18+C18-B17)/B17</f>
        <v>-0.146617065078865</v>
      </c>
      <c r="E18" s="0" t="n">
        <v>25.5876</v>
      </c>
      <c r="F18" s="0" t="n">
        <v>0</v>
      </c>
      <c r="G18" s="6" t="n">
        <f aca="false">(E18+F18-E17)/E17</f>
        <v>0.278772583023064</v>
      </c>
      <c r="H18" s="0" t="n">
        <v>0.8082</v>
      </c>
      <c r="I18" s="0" t="n">
        <v>0</v>
      </c>
      <c r="J18" s="6" t="n">
        <f aca="false">(H18+I18-H17)/H17</f>
        <v>0.247222222222222</v>
      </c>
    </row>
    <row r="19" customFormat="false" ht="12.8" hidden="false" customHeight="false" outlineLevel="0" collapsed="false">
      <c r="A19" s="5" t="s">
        <v>25</v>
      </c>
      <c r="B19" s="0" t="n">
        <v>16.7107</v>
      </c>
      <c r="C19" s="0" t="n">
        <v>0.35</v>
      </c>
      <c r="D19" s="6" t="n">
        <f aca="false">(B19+C19-B18)/B18</f>
        <v>0.0315124399165634</v>
      </c>
      <c r="E19" s="0" t="n">
        <v>22.3283</v>
      </c>
      <c r="F19" s="0" t="n">
        <v>0</v>
      </c>
      <c r="G19" s="6" t="n">
        <f aca="false">(E19+F19-E18)/E18</f>
        <v>-0.127378105019619</v>
      </c>
      <c r="H19" s="0" t="n">
        <v>0.784</v>
      </c>
      <c r="I19" s="0" t="n">
        <v>0</v>
      </c>
      <c r="J19" s="6" t="n">
        <f aca="false">(H19+I19-H18)/H18</f>
        <v>-0.0299430833951992</v>
      </c>
    </row>
    <row r="20" customFormat="false" ht="12.8" hidden="false" customHeight="false" outlineLevel="0" collapsed="false">
      <c r="A20" s="5" t="s">
        <v>26</v>
      </c>
      <c r="B20" s="0" t="n">
        <v>18.1267</v>
      </c>
      <c r="C20" s="0" t="n">
        <v>0</v>
      </c>
      <c r="D20" s="6" t="n">
        <f aca="false">(B20+C20-B19)/B19</f>
        <v>0.0847361271520643</v>
      </c>
      <c r="E20" s="0" t="n">
        <v>22.3283</v>
      </c>
      <c r="F20" s="0" t="n">
        <v>0</v>
      </c>
      <c r="G20" s="6" t="n">
        <f aca="false">(E20+F20-E19)/E19</f>
        <v>0</v>
      </c>
      <c r="H20" s="0" t="n">
        <v>0.9403</v>
      </c>
      <c r="I20" s="0" t="n">
        <v>0</v>
      </c>
      <c r="J20" s="6" t="n">
        <f aca="false">(H20+I20-H19)/H19</f>
        <v>0.199362244897959</v>
      </c>
    </row>
    <row r="21" customFormat="false" ht="12.8" hidden="false" customHeight="false" outlineLevel="0" collapsed="false">
      <c r="A21" s="5" t="s">
        <v>27</v>
      </c>
      <c r="B21" s="0" t="n">
        <v>19.6424</v>
      </c>
      <c r="C21" s="0" t="n">
        <v>0</v>
      </c>
      <c r="D21" s="6" t="n">
        <f aca="false">(B21+C21-B20)/B20</f>
        <v>0.0836169848896931</v>
      </c>
      <c r="E21" s="0" t="n">
        <v>19.2898</v>
      </c>
      <c r="F21" s="0" t="n">
        <v>0</v>
      </c>
      <c r="G21" s="6" t="n">
        <f aca="false">(E21+F21-E20)/E20</f>
        <v>-0.136082908237528</v>
      </c>
      <c r="H21" s="0" t="n">
        <v>0.3973</v>
      </c>
      <c r="I21" s="0" t="n">
        <v>0</v>
      </c>
      <c r="J21" s="6" t="n">
        <f aca="false">(H21+I21-H20)/H20</f>
        <v>-0.577475273848772</v>
      </c>
    </row>
    <row r="22" customFormat="false" ht="12.8" hidden="false" customHeight="false" outlineLevel="0" collapsed="false">
      <c r="A22" s="5" t="s">
        <v>28</v>
      </c>
      <c r="B22" s="0" t="n">
        <v>21.0422</v>
      </c>
      <c r="C22" s="0" t="n">
        <v>0.35</v>
      </c>
      <c r="D22" s="6" t="n">
        <f aca="false">(B22+C22-B21)/B21</f>
        <v>0.0890828004724476</v>
      </c>
      <c r="E22" s="0" t="n">
        <v>22.0277</v>
      </c>
      <c r="F22" s="0" t="n">
        <v>0</v>
      </c>
      <c r="G22" s="6" t="n">
        <f aca="false">(E22+F22-E21)/E21</f>
        <v>0.141935115968025</v>
      </c>
      <c r="H22" s="0" t="n">
        <v>0.3018</v>
      </c>
      <c r="I22" s="0" t="n">
        <v>0</v>
      </c>
      <c r="J22" s="6" t="n">
        <f aca="false">(H22+I22-H21)/H21</f>
        <v>-0.240372514472691</v>
      </c>
    </row>
    <row r="23" customFormat="false" ht="12.8" hidden="false" customHeight="false" outlineLevel="0" collapsed="false">
      <c r="A23" s="5" t="s">
        <v>29</v>
      </c>
      <c r="B23" s="0" t="n">
        <v>22.0555</v>
      </c>
      <c r="C23" s="0" t="n">
        <v>0</v>
      </c>
      <c r="D23" s="6" t="n">
        <f aca="false">(B23+C23-B22)/B22</f>
        <v>0.0481556111053026</v>
      </c>
      <c r="E23" s="0" t="n">
        <v>18.3527</v>
      </c>
      <c r="F23" s="0" t="n">
        <v>0</v>
      </c>
      <c r="G23" s="6" t="n">
        <f aca="false">(E23+F23-E22)/E22</f>
        <v>-0.166835393618036</v>
      </c>
      <c r="H23" s="0" t="n">
        <v>0.2546</v>
      </c>
      <c r="I23" s="0" t="n">
        <v>0</v>
      </c>
      <c r="J23" s="6" t="n">
        <f aca="false">(H23+I23-H22)/H22</f>
        <v>-0.156394963552021</v>
      </c>
    </row>
    <row r="24" customFormat="false" ht="12.8" hidden="false" customHeight="false" outlineLevel="0" collapsed="false">
      <c r="A24" s="5" t="s">
        <v>30</v>
      </c>
      <c r="B24" s="0" t="n">
        <v>23.104</v>
      </c>
      <c r="C24" s="0" t="n">
        <v>0</v>
      </c>
      <c r="D24" s="6" t="n">
        <f aca="false">(B24+C24-B23)/B23</f>
        <v>0.0475391625671602</v>
      </c>
      <c r="E24" s="0" t="n">
        <v>13.8749</v>
      </c>
      <c r="F24" s="0" t="n">
        <v>0</v>
      </c>
      <c r="G24" s="6" t="n">
        <f aca="false">(E24+F24-E23)/E23</f>
        <v>-0.243985898532641</v>
      </c>
      <c r="H24" s="0" t="n">
        <v>0.2296</v>
      </c>
      <c r="I24" s="0" t="n">
        <v>0</v>
      </c>
      <c r="J24" s="6" t="n">
        <f aca="false">(H24+I24-H23)/H23</f>
        <v>-0.0981932443047918</v>
      </c>
    </row>
    <row r="25" customFormat="false" ht="12.8" hidden="false" customHeight="false" outlineLevel="0" collapsed="false">
      <c r="A25" s="5" t="s">
        <v>31</v>
      </c>
      <c r="B25" s="0" t="n">
        <v>21.2656</v>
      </c>
      <c r="C25" s="0" t="n">
        <v>0.35</v>
      </c>
      <c r="D25" s="6" t="n">
        <f aca="false">(B25+C25-B24)/B24</f>
        <v>-0.0644217451523545</v>
      </c>
      <c r="E25" s="0" t="n">
        <v>19.5297</v>
      </c>
      <c r="F25" s="0" t="n">
        <v>0</v>
      </c>
      <c r="G25" s="6" t="n">
        <f aca="false">(E25+F25-E24)/E24</f>
        <v>0.407556090494346</v>
      </c>
      <c r="H25" s="0" t="n">
        <v>0.3336</v>
      </c>
      <c r="I25" s="0" t="n">
        <v>0</v>
      </c>
      <c r="J25" s="6" t="n">
        <f aca="false">(H25+I25-H24)/H24</f>
        <v>0.452961672473868</v>
      </c>
    </row>
    <row r="26" customFormat="false" ht="12.8" hidden="false" customHeight="false" outlineLevel="0" collapsed="false">
      <c r="A26" s="5" t="s">
        <v>32</v>
      </c>
      <c r="B26" s="0" t="n">
        <v>20.8689</v>
      </c>
      <c r="C26" s="0" t="n">
        <v>0</v>
      </c>
      <c r="D26" s="6" t="n">
        <f aca="false">(B26+C26-B25)/B25</f>
        <v>-0.0186545406666165</v>
      </c>
      <c r="E26" s="0" t="n">
        <v>18.8708</v>
      </c>
      <c r="F26" s="0" t="n">
        <v>0</v>
      </c>
      <c r="G26" s="6" t="n">
        <f aca="false">(E26+F26-E25)/E25</f>
        <v>-0.0337383574760493</v>
      </c>
      <c r="H26" s="0" t="n">
        <v>0.2816</v>
      </c>
      <c r="I26" s="0" t="n">
        <v>0</v>
      </c>
      <c r="J26" s="6" t="n">
        <f aca="false">(H26+I26-H25)/H25</f>
        <v>-0.155875299760192</v>
      </c>
    </row>
    <row r="27" customFormat="false" ht="12.8" hidden="false" customHeight="false" outlineLevel="0" collapsed="false">
      <c r="A27" s="5" t="s">
        <v>33</v>
      </c>
      <c r="B27" s="0" t="n">
        <v>18.5304</v>
      </c>
      <c r="C27" s="0" t="n">
        <v>0</v>
      </c>
      <c r="D27" s="6" t="n">
        <f aca="false">(B27+C27-B26)/B26</f>
        <v>-0.112056696807211</v>
      </c>
      <c r="E27" s="0" t="n">
        <v>17.4923</v>
      </c>
      <c r="F27" s="0" t="n">
        <v>0</v>
      </c>
      <c r="G27" s="6" t="n">
        <f aca="false">(E27+F27-E26)/E26</f>
        <v>-0.073049367276427</v>
      </c>
      <c r="H27" s="0" t="n">
        <v>0.3405</v>
      </c>
      <c r="I27" s="0" t="n">
        <v>0</v>
      </c>
      <c r="J27" s="6" t="n">
        <f aca="false">(H27+I27-H26)/H26</f>
        <v>0.209161931818182</v>
      </c>
    </row>
    <row r="28" customFormat="false" ht="12.8" hidden="false" customHeight="false" outlineLevel="0" collapsed="false">
      <c r="A28" s="5" t="s">
        <v>34</v>
      </c>
      <c r="B28" s="0" t="n">
        <v>17.8839</v>
      </c>
      <c r="C28" s="0" t="n">
        <v>0.35</v>
      </c>
      <c r="D28" s="6" t="n">
        <f aca="false">(B28+C28-B27)/B27</f>
        <v>-0.016000733929111</v>
      </c>
      <c r="E28" s="0" t="n">
        <v>21.6695</v>
      </c>
      <c r="F28" s="0" t="n">
        <v>0</v>
      </c>
      <c r="G28" s="6" t="n">
        <f aca="false">(E28+F28-E27)/E27</f>
        <v>0.238802215832109</v>
      </c>
      <c r="H28" s="0" t="n">
        <v>0.3933</v>
      </c>
      <c r="I28" s="0" t="n">
        <v>0</v>
      </c>
      <c r="J28" s="6" t="n">
        <f aca="false">(H28+I28-H27)/H27</f>
        <v>0.155066079295154</v>
      </c>
    </row>
    <row r="29" customFormat="false" ht="12.8" hidden="false" customHeight="false" outlineLevel="0" collapsed="false">
      <c r="A29" s="5" t="s">
        <v>35</v>
      </c>
      <c r="B29" s="0" t="n">
        <v>19.1317</v>
      </c>
      <c r="C29" s="0" t="n">
        <v>0</v>
      </c>
      <c r="D29" s="6" t="n">
        <f aca="false">(B29+C29-B28)/B28</f>
        <v>0.0697722532557215</v>
      </c>
      <c r="E29" s="0" t="n">
        <v>22.1268</v>
      </c>
      <c r="F29" s="0" t="n">
        <v>0</v>
      </c>
      <c r="G29" s="6" t="n">
        <f aca="false">(E29+F29-E28)/E28</f>
        <v>0.0211033941715314</v>
      </c>
      <c r="H29" s="0" t="n">
        <v>0.3078</v>
      </c>
      <c r="I29" s="0" t="n">
        <v>0</v>
      </c>
      <c r="J29" s="6" t="n">
        <f aca="false">(H29+I29-H28)/H28</f>
        <v>-0.217391304347826</v>
      </c>
    </row>
    <row r="30" customFormat="false" ht="12.8" hidden="false" customHeight="false" outlineLevel="0" collapsed="false">
      <c r="A30" s="5" t="s">
        <v>36</v>
      </c>
      <c r="B30" s="0" t="n">
        <v>19.0007</v>
      </c>
      <c r="C30" s="0" t="n">
        <v>0</v>
      </c>
      <c r="D30" s="6" t="n">
        <f aca="false">(B30+C30-B29)/B29</f>
        <v>-0.0068472744188964</v>
      </c>
      <c r="E30" s="0" t="n">
        <v>23.3486</v>
      </c>
      <c r="F30" s="0" t="n">
        <v>0</v>
      </c>
      <c r="G30" s="6" t="n">
        <f aca="false">(E30+F30-E29)/E29</f>
        <v>0.0552181065495237</v>
      </c>
      <c r="H30" s="0" t="n">
        <v>0.3587</v>
      </c>
      <c r="I30" s="0" t="n">
        <v>0</v>
      </c>
      <c r="J30" s="6" t="n">
        <f aca="false">(H30+I30-H29)/H29</f>
        <v>0.165367121507472</v>
      </c>
    </row>
    <row r="31" customFormat="false" ht="12.8" hidden="false" customHeight="false" outlineLevel="0" collapsed="false">
      <c r="A31" s="5" t="s">
        <v>37</v>
      </c>
      <c r="B31" s="0" t="n">
        <v>21.2671</v>
      </c>
      <c r="C31" s="0" t="n">
        <v>0.38</v>
      </c>
      <c r="D31" s="6" t="n">
        <f aca="false">(B31+C31-B30)/B30</f>
        <v>0.139279079191819</v>
      </c>
      <c r="E31" s="0" t="n">
        <v>21.1705</v>
      </c>
      <c r="F31" s="0" t="n">
        <v>0</v>
      </c>
      <c r="G31" s="6" t="n">
        <f aca="false">(E31+F31-E30)/E30</f>
        <v>-0.0932861070899326</v>
      </c>
      <c r="H31" s="0" t="n">
        <v>0.2899</v>
      </c>
      <c r="I31" s="0" t="n">
        <v>0</v>
      </c>
      <c r="J31" s="6" t="n">
        <f aca="false">(H31+I31-H30)/H30</f>
        <v>-0.191803735712294</v>
      </c>
    </row>
    <row r="32" customFormat="false" ht="12.8" hidden="false" customHeight="false" outlineLevel="0" collapsed="false">
      <c r="A32" s="5" t="s">
        <v>38</v>
      </c>
      <c r="B32" s="0" t="n">
        <v>22.2044</v>
      </c>
      <c r="C32" s="0" t="n">
        <v>0</v>
      </c>
      <c r="D32" s="6" t="n">
        <f aca="false">(B32+C32-B31)/B31</f>
        <v>0.0440727696771069</v>
      </c>
      <c r="E32" s="0" t="n">
        <v>18.2471</v>
      </c>
      <c r="F32" s="0" t="n">
        <v>0</v>
      </c>
      <c r="G32" s="6" t="n">
        <f aca="false">(E32+F32-E31)/E31</f>
        <v>-0.138088377695378</v>
      </c>
      <c r="H32" s="0" t="n">
        <v>0.2862</v>
      </c>
      <c r="I32" s="0" t="n">
        <v>0</v>
      </c>
      <c r="J32" s="6" t="n">
        <f aca="false">(H32+I32-H31)/H31</f>
        <v>-0.0127630217316315</v>
      </c>
    </row>
    <row r="33" customFormat="false" ht="12.8" hidden="false" customHeight="false" outlineLevel="0" collapsed="false">
      <c r="A33" s="5" t="s">
        <v>39</v>
      </c>
      <c r="B33" s="0" t="n">
        <v>21.7971</v>
      </c>
      <c r="C33" s="0" t="n">
        <v>0</v>
      </c>
      <c r="D33" s="6" t="n">
        <f aca="false">(B33+C33-B32)/B32</f>
        <v>-0.0183432112554268</v>
      </c>
      <c r="E33" s="0" t="n">
        <v>16.3664</v>
      </c>
      <c r="F33" s="0" t="n">
        <v>0</v>
      </c>
      <c r="G33" s="6" t="n">
        <f aca="false">(E33+F33-E32)/E32</f>
        <v>-0.10306843279206</v>
      </c>
      <c r="H33" s="0" t="n">
        <v>0.2393</v>
      </c>
      <c r="I33" s="0" t="n">
        <v>0</v>
      </c>
      <c r="J33" s="6" t="n">
        <f aca="false">(H33+I33-H32)/H32</f>
        <v>-0.1638714185884</v>
      </c>
    </row>
    <row r="34" customFormat="false" ht="12.8" hidden="false" customHeight="false" outlineLevel="0" collapsed="false">
      <c r="A34" s="5" t="s">
        <v>40</v>
      </c>
      <c r="B34" s="0" t="n">
        <v>22.2139</v>
      </c>
      <c r="C34" s="0" t="n">
        <v>0.38</v>
      </c>
      <c r="D34" s="6" t="n">
        <f aca="false">(B34+C34-B33)/B33</f>
        <v>0.0365553215794761</v>
      </c>
      <c r="E34" s="0" t="n">
        <v>18.599</v>
      </c>
      <c r="F34" s="0" t="n">
        <v>0</v>
      </c>
      <c r="G34" s="6" t="n">
        <f aca="false">(E34+F34-E33)/E33</f>
        <v>0.136413627920618</v>
      </c>
      <c r="H34" s="0" t="n">
        <v>0.2709</v>
      </c>
      <c r="I34" s="0" t="n">
        <v>0</v>
      </c>
      <c r="J34" s="6" t="n">
        <f aca="false">(H34+I34-H33)/H33</f>
        <v>0.132051817801922</v>
      </c>
    </row>
    <row r="35" customFormat="false" ht="12.8" hidden="false" customHeight="false" outlineLevel="0" collapsed="false">
      <c r="A35" s="5" t="s">
        <v>41</v>
      </c>
      <c r="B35" s="0" t="n">
        <v>23.3218</v>
      </c>
      <c r="C35" s="0" t="n">
        <v>0</v>
      </c>
      <c r="D35" s="6" t="n">
        <f aca="false">(B35+C35-B34)/B34</f>
        <v>0.049874177879616</v>
      </c>
      <c r="E35" s="0" t="n">
        <v>20.5372</v>
      </c>
      <c r="F35" s="0" t="n">
        <v>0</v>
      </c>
      <c r="G35" s="6" t="n">
        <f aca="false">(E35+F35-E34)/E34</f>
        <v>0.104209903758266</v>
      </c>
      <c r="H35" s="0" t="n">
        <v>0.3286</v>
      </c>
      <c r="I35" s="0" t="n">
        <v>0</v>
      </c>
      <c r="J35" s="6" t="n">
        <f aca="false">(H35+I35-H34)/H34</f>
        <v>0.212993724621631</v>
      </c>
    </row>
    <row r="36" customFormat="false" ht="12.8" hidden="false" customHeight="false" outlineLevel="0" collapsed="false">
      <c r="A36" s="5" t="s">
        <v>42</v>
      </c>
      <c r="B36" s="0" t="n">
        <v>23.8247</v>
      </c>
      <c r="C36" s="0" t="n">
        <v>0</v>
      </c>
      <c r="D36" s="6" t="n">
        <f aca="false">(B36+C36-B35)/B35</f>
        <v>0.0215635156806079</v>
      </c>
      <c r="E36" s="0" t="n">
        <v>21.1897</v>
      </c>
      <c r="F36" s="0" t="n">
        <v>0</v>
      </c>
      <c r="G36" s="6" t="n">
        <f aca="false">(E36+F36-E35)/E35</f>
        <v>0.0317716144362425</v>
      </c>
      <c r="H36" s="0" t="n">
        <v>0.3379</v>
      </c>
      <c r="I36" s="0" t="n">
        <v>0</v>
      </c>
      <c r="J36" s="6" t="n">
        <f aca="false">(H36+I36-H35)/H35</f>
        <v>0.0283018867924529</v>
      </c>
    </row>
    <row r="37" customFormat="false" ht="12.8" hidden="false" customHeight="false" outlineLevel="0" collapsed="false">
      <c r="A37" s="5" t="s">
        <v>43</v>
      </c>
      <c r="B37" s="0" t="n">
        <v>24.71</v>
      </c>
      <c r="C37" s="0" t="n">
        <v>0.38</v>
      </c>
      <c r="D37" s="6" t="n">
        <f aca="false">(B37+C37-B36)/B36</f>
        <v>0.0531087484837165</v>
      </c>
      <c r="E37" s="0" t="n">
        <v>20.3773</v>
      </c>
      <c r="F37" s="0" t="n">
        <v>0</v>
      </c>
      <c r="G37" s="6" t="n">
        <f aca="false">(E37+F37-E36)/E36</f>
        <v>-0.038339381869493</v>
      </c>
      <c r="H37" s="0" t="n">
        <v>0.3814</v>
      </c>
      <c r="I37" s="0" t="n">
        <v>0</v>
      </c>
      <c r="J37" s="6" t="n">
        <f aca="false">(H37+I37-H36)/H36</f>
        <v>0.128736312518497</v>
      </c>
    </row>
    <row r="38" customFormat="false" ht="12.8" hidden="false" customHeight="false" outlineLevel="0" collapsed="false">
      <c r="A38" s="5" t="s">
        <v>44</v>
      </c>
      <c r="B38" s="0" t="n">
        <v>25.6508</v>
      </c>
      <c r="C38" s="0" t="n">
        <v>0</v>
      </c>
      <c r="D38" s="6" t="n">
        <f aca="false">(B38+C38-B37)/B37</f>
        <v>0.0380736543909348</v>
      </c>
      <c r="E38" s="0" t="n">
        <v>18.6597</v>
      </c>
      <c r="F38" s="0" t="n">
        <v>0</v>
      </c>
      <c r="G38" s="6" t="n">
        <f aca="false">(E38+F38-E37)/E37</f>
        <v>-0.0842898715727796</v>
      </c>
      <c r="H38" s="0" t="n">
        <v>0.3348</v>
      </c>
      <c r="I38" s="0" t="n">
        <v>0</v>
      </c>
      <c r="J38" s="6" t="n">
        <f aca="false">(H38+I38-H37)/H37</f>
        <v>-0.122181436811746</v>
      </c>
    </row>
    <row r="39" customFormat="false" ht="12.8" hidden="false" customHeight="false" outlineLevel="0" collapsed="false">
      <c r="A39" s="5" t="s">
        <v>45</v>
      </c>
      <c r="B39" s="0" t="n">
        <v>27.2542</v>
      </c>
      <c r="C39" s="0" t="n">
        <v>0</v>
      </c>
      <c r="D39" s="6" t="n">
        <f aca="false">(B39+C39-B38)/B38</f>
        <v>0.0625087716562447</v>
      </c>
      <c r="E39" s="0" t="n">
        <v>19.2898</v>
      </c>
      <c r="F39" s="0" t="n">
        <v>0</v>
      </c>
      <c r="G39" s="6" t="n">
        <f aca="false">(E39+F39-E38)/E38</f>
        <v>0.0337679598278643</v>
      </c>
      <c r="H39" s="0" t="n">
        <v>0.3652</v>
      </c>
      <c r="I39" s="0" t="n">
        <v>0</v>
      </c>
      <c r="J39" s="6" t="n">
        <f aca="false">(H39+I39-H38)/H38</f>
        <v>0.090800477897252</v>
      </c>
    </row>
    <row r="40" customFormat="false" ht="12.8" hidden="false" customHeight="false" outlineLevel="0" collapsed="false">
      <c r="A40" s="5" t="s">
        <v>46</v>
      </c>
      <c r="B40" s="0" t="n">
        <v>27.4208</v>
      </c>
      <c r="C40" s="0" t="n">
        <v>0.38</v>
      </c>
      <c r="D40" s="6" t="n">
        <f aca="false">(B40+C40-B39)/B39</f>
        <v>0.0200556244542125</v>
      </c>
      <c r="E40" s="0" t="n">
        <v>16.7151</v>
      </c>
      <c r="F40" s="0" t="n">
        <v>0</v>
      </c>
      <c r="G40" s="6" t="n">
        <f aca="false">(E40+F40-E39)/E39</f>
        <v>-0.133474686103537</v>
      </c>
      <c r="H40" s="0" t="n">
        <v>0.3745</v>
      </c>
      <c r="I40" s="0" t="n">
        <v>0</v>
      </c>
      <c r="J40" s="6" t="n">
        <f aca="false">(H40+I40-H39)/H39</f>
        <v>0.0254654983570645</v>
      </c>
    </row>
    <row r="41" customFormat="false" ht="12.8" hidden="false" customHeight="false" outlineLevel="0" collapsed="false">
      <c r="A41" s="5" t="s">
        <v>47</v>
      </c>
      <c r="B41" s="0" t="n">
        <v>27.2051</v>
      </c>
      <c r="C41" s="0" t="n">
        <v>0</v>
      </c>
      <c r="D41" s="6" t="n">
        <f aca="false">(B41+C41-B40)/B40</f>
        <v>-0.00786629128252998</v>
      </c>
      <c r="E41" s="0" t="n">
        <v>16.2833</v>
      </c>
      <c r="F41" s="0" t="n">
        <v>0</v>
      </c>
      <c r="G41" s="6" t="n">
        <f aca="false">(E41+F41-E40)/E40</f>
        <v>-0.025832929506853</v>
      </c>
      <c r="H41" s="0" t="n">
        <v>0.3595</v>
      </c>
      <c r="I41" s="0" t="n">
        <v>0</v>
      </c>
      <c r="J41" s="6" t="n">
        <f aca="false">(H41+I41-H40)/H40</f>
        <v>-0.0400534045393857</v>
      </c>
    </row>
    <row r="42" customFormat="false" ht="12.8" hidden="false" customHeight="false" outlineLevel="0" collapsed="false">
      <c r="A42" s="5" t="s">
        <v>48</v>
      </c>
      <c r="B42" s="0" t="n">
        <v>27.1291</v>
      </c>
      <c r="C42" s="0" t="n">
        <v>0</v>
      </c>
      <c r="D42" s="6" t="n">
        <f aca="false">(B42+C42-B41)/B41</f>
        <v>-0.0027935938482123</v>
      </c>
      <c r="E42" s="0" t="n">
        <v>17.4955</v>
      </c>
      <c r="F42" s="0" t="n">
        <v>0</v>
      </c>
      <c r="G42" s="6" t="n">
        <f aca="false">(E42+F42-E41)/E41</f>
        <v>0.0744443693845842</v>
      </c>
      <c r="H42" s="0" t="n">
        <v>0.2734</v>
      </c>
      <c r="I42" s="0" t="n">
        <v>0</v>
      </c>
      <c r="J42" s="6" t="n">
        <f aca="false">(H42+I42-H41)/H41</f>
        <v>-0.239499304589708</v>
      </c>
    </row>
    <row r="43" customFormat="false" ht="12.8" hidden="false" customHeight="false" outlineLevel="0" collapsed="false">
      <c r="A43" s="5" t="s">
        <v>49</v>
      </c>
      <c r="B43" s="0" t="n">
        <v>27.1734</v>
      </c>
      <c r="C43" s="0" t="n">
        <v>0.41</v>
      </c>
      <c r="D43" s="6" t="n">
        <f aca="false">(B43+C43-B42)/B42</f>
        <v>0.0167458559259246</v>
      </c>
      <c r="E43" s="0" t="n">
        <v>15.3461</v>
      </c>
      <c r="F43" s="0" t="n">
        <v>0</v>
      </c>
      <c r="G43" s="6" t="n">
        <f aca="false">(E43+F43-E42)/E42</f>
        <v>-0.122854448286702</v>
      </c>
      <c r="H43" s="0" t="n">
        <v>0.2354</v>
      </c>
      <c r="I43" s="0" t="n">
        <v>0</v>
      </c>
      <c r="J43" s="6" t="n">
        <f aca="false">(H43+I43-H42)/H42</f>
        <v>-0.13899049012436</v>
      </c>
    </row>
    <row r="44" customFormat="false" ht="12.8" hidden="false" customHeight="false" outlineLevel="0" collapsed="false">
      <c r="A44" s="5" t="s">
        <v>50</v>
      </c>
      <c r="B44" s="0" t="n">
        <v>27.0696</v>
      </c>
      <c r="C44" s="0" t="n">
        <v>0</v>
      </c>
      <c r="D44" s="6" t="n">
        <f aca="false">(B44+C44-B43)/B43</f>
        <v>-0.00381991211994081</v>
      </c>
      <c r="E44" s="0" t="n">
        <v>15.698</v>
      </c>
      <c r="F44" s="0" t="n">
        <v>0</v>
      </c>
      <c r="G44" s="6" t="n">
        <f aca="false">(E44+F44-E43)/E43</f>
        <v>0.0229309075269939</v>
      </c>
      <c r="H44" s="0" t="n">
        <v>0.2276</v>
      </c>
      <c r="I44" s="0" t="n">
        <v>0</v>
      </c>
      <c r="J44" s="6" t="n">
        <f aca="false">(H44+I44-H43)/H43</f>
        <v>-0.0331350892098555</v>
      </c>
    </row>
    <row r="45" customFormat="false" ht="12.8" hidden="false" customHeight="false" outlineLevel="0" collapsed="false">
      <c r="A45" s="5" t="s">
        <v>51</v>
      </c>
      <c r="B45" s="0" t="n">
        <v>27.2925</v>
      </c>
      <c r="C45" s="0" t="n">
        <v>0</v>
      </c>
      <c r="D45" s="6" t="n">
        <f aca="false">(B45+C45-B44)/B44</f>
        <v>0.00823432928451101</v>
      </c>
      <c r="E45" s="0" t="n">
        <v>13.99</v>
      </c>
      <c r="F45" s="0" t="n">
        <v>0</v>
      </c>
      <c r="G45" s="6" t="n">
        <f aca="false">(E45+F45-E44)/E44</f>
        <v>-0.10880366925723</v>
      </c>
      <c r="H45" s="0" t="n">
        <v>0.2237</v>
      </c>
      <c r="I45" s="0" t="n">
        <v>0</v>
      </c>
      <c r="J45" s="6" t="n">
        <f aca="false">(H45+I45-H44)/H44</f>
        <v>-0.0171353251318103</v>
      </c>
    </row>
    <row r="46" customFormat="false" ht="12.8" hidden="false" customHeight="false" outlineLevel="0" collapsed="false">
      <c r="A46" s="5" t="s">
        <v>52</v>
      </c>
      <c r="B46" s="0" t="n">
        <v>27.1308</v>
      </c>
      <c r="C46" s="0" t="n">
        <v>0.41</v>
      </c>
      <c r="D46" s="6" t="n">
        <f aca="false">(B46+C46-B45)/B45</f>
        <v>0.00909773747366494</v>
      </c>
      <c r="E46" s="0" t="n">
        <v>17.1021</v>
      </c>
      <c r="F46" s="0" t="n">
        <v>0</v>
      </c>
      <c r="G46" s="6" t="n">
        <f aca="false">(E46+F46-E45)/E45</f>
        <v>0.222451751250893</v>
      </c>
      <c r="H46" s="0" t="n">
        <v>0.2479</v>
      </c>
      <c r="I46" s="0" t="n">
        <v>0</v>
      </c>
      <c r="J46" s="6" t="n">
        <f aca="false">(H46+I46-H45)/H45</f>
        <v>0.10818059901654</v>
      </c>
    </row>
    <row r="47" customFormat="false" ht="12.8" hidden="false" customHeight="false" outlineLevel="0" collapsed="false">
      <c r="A47" s="5" t="s">
        <v>53</v>
      </c>
      <c r="B47" s="0" t="n">
        <v>25.9284</v>
      </c>
      <c r="C47" s="0" t="n">
        <v>0</v>
      </c>
      <c r="D47" s="6" t="n">
        <f aca="false">(B47+C47-B46)/B46</f>
        <v>-0.0443186341722323</v>
      </c>
      <c r="E47" s="0" t="n">
        <v>18.4486</v>
      </c>
      <c r="F47" s="0" t="n">
        <v>0</v>
      </c>
      <c r="G47" s="6" t="n">
        <f aca="false">(E47+F47-E46)/E46</f>
        <v>0.0787330210909771</v>
      </c>
      <c r="H47" s="0" t="n">
        <v>0.2392</v>
      </c>
      <c r="I47" s="0" t="n">
        <v>0</v>
      </c>
      <c r="J47" s="6" t="n">
        <f aca="false">(H47+I47-H46)/H46</f>
        <v>-0.0350947962888261</v>
      </c>
    </row>
    <row r="48" customFormat="false" ht="12.8" hidden="false" customHeight="false" outlineLevel="0" collapsed="false">
      <c r="A48" s="5" t="s">
        <v>54</v>
      </c>
      <c r="B48" s="0" t="n">
        <v>26.3609</v>
      </c>
      <c r="C48" s="0" t="n">
        <v>0</v>
      </c>
      <c r="D48" s="6" t="n">
        <f aca="false">(B48+C48-B47)/B47</f>
        <v>0.016680551055985</v>
      </c>
      <c r="E48" s="0" t="n">
        <v>16.536</v>
      </c>
      <c r="F48" s="0" t="n">
        <v>0</v>
      </c>
      <c r="G48" s="6" t="n">
        <f aca="false">(E48+F48-E47)/E47</f>
        <v>-0.103671823336188</v>
      </c>
      <c r="H48" s="0" t="n">
        <v>0.2211</v>
      </c>
      <c r="I48" s="0" t="n">
        <v>0</v>
      </c>
      <c r="J48" s="6" t="n">
        <f aca="false">(H48+I48-H47)/H47</f>
        <v>-0.0756688963210703</v>
      </c>
    </row>
    <row r="49" customFormat="false" ht="12.8" hidden="false" customHeight="false" outlineLevel="0" collapsed="false">
      <c r="A49" s="5" t="s">
        <v>55</v>
      </c>
      <c r="B49" s="0" t="n">
        <v>26.3739</v>
      </c>
      <c r="C49" s="0" t="n">
        <v>0.41</v>
      </c>
      <c r="D49" s="6" t="n">
        <f aca="false">(B49+C49-B48)/B48</f>
        <v>0.0160464931015253</v>
      </c>
      <c r="E49" s="0" t="n">
        <v>15.1798</v>
      </c>
      <c r="F49" s="0" t="n">
        <v>0</v>
      </c>
      <c r="G49" s="6" t="n">
        <f aca="false">(E49+F49-E48)/E48</f>
        <v>-0.0820149975810354</v>
      </c>
      <c r="H49" s="0" t="n">
        <v>0.2216</v>
      </c>
      <c r="I49" s="0" t="n">
        <v>0</v>
      </c>
      <c r="J49" s="6" t="n">
        <f aca="false">(H49+I49-H48)/H48</f>
        <v>0.00226142017186793</v>
      </c>
    </row>
    <row r="50" customFormat="false" ht="12.8" hidden="false" customHeight="false" outlineLevel="0" collapsed="false">
      <c r="A50" s="5" t="s">
        <v>56</v>
      </c>
      <c r="B50" s="0" t="n">
        <v>25.2304</v>
      </c>
      <c r="C50" s="0" t="n">
        <v>0</v>
      </c>
      <c r="D50" s="6" t="n">
        <f aca="false">(B50+C50-B49)/B49</f>
        <v>-0.0433572585017764</v>
      </c>
      <c r="E50" s="0" t="n">
        <v>15.2101</v>
      </c>
      <c r="F50" s="0" t="n">
        <v>0.08</v>
      </c>
      <c r="G50" s="6" t="n">
        <f aca="false">(E50+F50-E49)/E49</f>
        <v>0.00726623539177068</v>
      </c>
      <c r="H50" s="0" t="n">
        <v>0.2316</v>
      </c>
      <c r="I50" s="0" t="n">
        <v>0</v>
      </c>
      <c r="J50" s="6" t="n">
        <f aca="false">(H50+I50-H49)/H49</f>
        <v>0.0451263537906136</v>
      </c>
    </row>
    <row r="51" customFormat="false" ht="12.8" hidden="false" customHeight="false" outlineLevel="0" collapsed="false">
      <c r="A51" s="5" t="s">
        <v>57</v>
      </c>
      <c r="B51" s="0" t="n">
        <v>27.4464</v>
      </c>
      <c r="C51" s="0" t="n">
        <v>0</v>
      </c>
      <c r="D51" s="6" t="n">
        <f aca="false">(B51+C51-B50)/B50</f>
        <v>0.0878305536178579</v>
      </c>
      <c r="E51" s="0" t="n">
        <v>15.5374</v>
      </c>
      <c r="F51" s="0" t="n">
        <v>0</v>
      </c>
      <c r="G51" s="6" t="n">
        <f aca="false">(E51+F51-E50)/E50</f>
        <v>0.0215185961959487</v>
      </c>
      <c r="H51" s="0" t="n">
        <v>0.2182</v>
      </c>
      <c r="I51" s="0" t="n">
        <v>0</v>
      </c>
      <c r="J51" s="6" t="n">
        <f aca="false">(H51+I51-H50)/H50</f>
        <v>-0.0578583765112262</v>
      </c>
    </row>
    <row r="52" customFormat="false" ht="12.8" hidden="false" customHeight="false" outlineLevel="0" collapsed="false">
      <c r="A52" s="5" t="s">
        <v>58</v>
      </c>
      <c r="B52" s="0" t="n">
        <v>27.8193</v>
      </c>
      <c r="C52" s="0" t="n">
        <v>0.41</v>
      </c>
      <c r="D52" s="6" t="n">
        <f aca="false">(B52+C52-B51)/B51</f>
        <v>0.028524688119389</v>
      </c>
      <c r="E52" s="0" t="n">
        <v>16.4102</v>
      </c>
      <c r="F52" s="0" t="n">
        <v>0</v>
      </c>
      <c r="G52" s="6" t="n">
        <f aca="false">(E52+F52-E51)/E51</f>
        <v>0.0561741346686061</v>
      </c>
      <c r="H52" s="0" t="n">
        <v>0.2194</v>
      </c>
      <c r="I52" s="0" t="n">
        <v>0</v>
      </c>
      <c r="J52" s="6" t="n">
        <f aca="false">(H52+I52-H51)/H51</f>
        <v>0.00549954170485796</v>
      </c>
    </row>
    <row r="53" customFormat="false" ht="12.8" hidden="false" customHeight="false" outlineLevel="0" collapsed="false">
      <c r="A53" s="5" t="s">
        <v>59</v>
      </c>
      <c r="B53" s="0" t="n">
        <v>28.4293</v>
      </c>
      <c r="C53" s="0" t="n">
        <v>0</v>
      </c>
      <c r="D53" s="6" t="n">
        <f aca="false">(B53+C53-B52)/B52</f>
        <v>0.0219272231867805</v>
      </c>
      <c r="E53" s="0" t="n">
        <v>15.7941</v>
      </c>
      <c r="F53" s="0" t="n">
        <v>0</v>
      </c>
      <c r="G53" s="6" t="n">
        <f aca="false">(E53+F53-E52)/E52</f>
        <v>-0.0375437228065471</v>
      </c>
      <c r="H53" s="0" t="n">
        <v>0.277</v>
      </c>
      <c r="I53" s="0" t="n">
        <v>0</v>
      </c>
      <c r="J53" s="6" t="n">
        <f aca="false">(H53+I53-H52)/H52</f>
        <v>0.26253418413856</v>
      </c>
    </row>
    <row r="54" customFormat="false" ht="12.8" hidden="false" customHeight="false" outlineLevel="0" collapsed="false">
      <c r="A54" s="5" t="s">
        <v>60</v>
      </c>
      <c r="B54" s="0" t="n">
        <v>27.6119</v>
      </c>
      <c r="C54" s="0" t="n">
        <v>0</v>
      </c>
      <c r="D54" s="6" t="n">
        <f aca="false">(B54+C54-B53)/B53</f>
        <v>-0.0287520269581032</v>
      </c>
      <c r="E54" s="0" t="n">
        <v>16.4551</v>
      </c>
      <c r="F54" s="0" t="n">
        <v>0</v>
      </c>
      <c r="G54" s="6" t="n">
        <f aca="false">(E54+F54-E53)/E53</f>
        <v>0.0418510709695393</v>
      </c>
      <c r="H54" s="0" t="n">
        <v>0.2941</v>
      </c>
      <c r="I54" s="0" t="n">
        <v>0</v>
      </c>
      <c r="J54" s="6" t="n">
        <f aca="false">(H54+I54-H53)/H53</f>
        <v>0.0617328519855596</v>
      </c>
    </row>
    <row r="55" customFormat="false" ht="12.8" hidden="false" customHeight="false" outlineLevel="0" collapsed="false">
      <c r="A55" s="5" t="s">
        <v>61</v>
      </c>
      <c r="B55" s="0" t="n">
        <v>27.346</v>
      </c>
      <c r="C55" s="0" t="n">
        <v>0.455</v>
      </c>
      <c r="D55" s="6" t="n">
        <f aca="false">(B55+C55-B54)/B54</f>
        <v>0.00684849648158945</v>
      </c>
      <c r="E55" s="0" t="n">
        <v>16.9493</v>
      </c>
      <c r="F55" s="0" t="n">
        <v>0</v>
      </c>
      <c r="G55" s="6" t="n">
        <f aca="false">(E55+F55-E54)/E54</f>
        <v>0.030033241973613</v>
      </c>
      <c r="H55" s="0" t="n">
        <v>0.3252</v>
      </c>
      <c r="I55" s="0" t="n">
        <v>0</v>
      </c>
      <c r="J55" s="6" t="n">
        <f aca="false">(H55+I55-H54)/H54</f>
        <v>0.105746344780687</v>
      </c>
    </row>
    <row r="56" customFormat="false" ht="12.8" hidden="false" customHeight="false" outlineLevel="0" collapsed="false">
      <c r="A56" s="5" t="s">
        <v>62</v>
      </c>
      <c r="B56" s="0" t="n">
        <v>27.1655</v>
      </c>
      <c r="C56" s="0" t="n">
        <v>0</v>
      </c>
      <c r="D56" s="6" t="n">
        <f aca="false">(B56+C56-B55)/B55</f>
        <v>-0.00660059972207996</v>
      </c>
      <c r="E56" s="0" t="n">
        <v>17.0199</v>
      </c>
      <c r="F56" s="0" t="n">
        <v>0</v>
      </c>
      <c r="G56" s="6" t="n">
        <f aca="false">(E56+F56-E55)/E55</f>
        <v>0.00416536376133521</v>
      </c>
      <c r="H56" s="0" t="n">
        <v>0.3489</v>
      </c>
      <c r="I56" s="0" t="n">
        <v>0</v>
      </c>
      <c r="J56" s="6" t="n">
        <f aca="false">(H56+I56-H55)/H55</f>
        <v>0.072878228782288</v>
      </c>
    </row>
    <row r="57" customFormat="false" ht="12.8" hidden="false" customHeight="false" outlineLevel="0" collapsed="false">
      <c r="A57" s="5" t="s">
        <v>63</v>
      </c>
      <c r="B57" s="0" t="n">
        <v>28.8865</v>
      </c>
      <c r="C57" s="0" t="n">
        <v>0</v>
      </c>
      <c r="D57" s="6" t="n">
        <f aca="false">(B57+C57-B56)/B56</f>
        <v>0.0633524139073457</v>
      </c>
      <c r="E57" s="0" t="n">
        <v>17.8413</v>
      </c>
      <c r="F57" s="0" t="n">
        <v>0</v>
      </c>
      <c r="G57" s="6" t="n">
        <f aca="false">(E57+F57-E56)/E56</f>
        <v>0.0482611531207587</v>
      </c>
      <c r="H57" s="0" t="n">
        <v>0.3197</v>
      </c>
      <c r="I57" s="0" t="n">
        <v>0</v>
      </c>
      <c r="J57" s="6" t="n">
        <f aca="false">(H57+I57-H56)/H56</f>
        <v>-0.0836916021782746</v>
      </c>
    </row>
    <row r="58" customFormat="false" ht="12.8" hidden="false" customHeight="false" outlineLevel="0" collapsed="false">
      <c r="A58" s="5" t="s">
        <v>64</v>
      </c>
      <c r="B58" s="0" t="n">
        <v>30.7349</v>
      </c>
      <c r="C58" s="0" t="n">
        <v>0.455</v>
      </c>
      <c r="D58" s="6" t="n">
        <f aca="false">(B58+C58-B57)/B57</f>
        <v>0.0797396707804683</v>
      </c>
      <c r="E58" s="0" t="n">
        <v>16.8683</v>
      </c>
      <c r="F58" s="0" t="n">
        <v>0.16</v>
      </c>
      <c r="G58" s="6" t="n">
        <f aca="false">(E58+F58-E57)/E57</f>
        <v>-0.0455684283095962</v>
      </c>
      <c r="H58" s="0" t="n">
        <v>0.3532</v>
      </c>
      <c r="I58" s="0" t="n">
        <v>0</v>
      </c>
      <c r="J58" s="6" t="n">
        <f aca="false">(H58+I58-H57)/H57</f>
        <v>0.104785736628089</v>
      </c>
    </row>
    <row r="59" customFormat="false" ht="12.8" hidden="false" customHeight="false" outlineLevel="0" collapsed="false">
      <c r="A59" s="5" t="s">
        <v>65</v>
      </c>
      <c r="B59" s="0" t="n">
        <v>30.0939</v>
      </c>
      <c r="C59" s="0" t="n">
        <v>0</v>
      </c>
      <c r="D59" s="6" t="n">
        <f aca="false">(B59+C59-B58)/B58</f>
        <v>-0.0208557698251824</v>
      </c>
      <c r="E59" s="0" t="n">
        <v>16.5909</v>
      </c>
      <c r="F59" s="0" t="n">
        <v>0</v>
      </c>
      <c r="G59" s="6" t="n">
        <f aca="false">(E59+F59-E58)/E58</f>
        <v>-0.0164450478115756</v>
      </c>
      <c r="H59" s="0" t="n">
        <v>0.3226</v>
      </c>
      <c r="I59" s="0" t="n">
        <v>0</v>
      </c>
      <c r="J59" s="6" t="n">
        <f aca="false">(H59+I59-H58)/H58</f>
        <v>-0.0866364665911665</v>
      </c>
    </row>
    <row r="60" customFormat="false" ht="12.8" hidden="false" customHeight="false" outlineLevel="0" collapsed="false">
      <c r="A60" s="5" t="s">
        <v>66</v>
      </c>
      <c r="B60" s="0" t="n">
        <v>31.2321</v>
      </c>
      <c r="C60" s="0" t="n">
        <v>0</v>
      </c>
      <c r="D60" s="6" t="n">
        <f aca="false">(B60+C60-B59)/B59</f>
        <v>0.0378216183346126</v>
      </c>
      <c r="E60" s="0" t="n">
        <v>17.6621</v>
      </c>
      <c r="F60" s="0" t="n">
        <v>0</v>
      </c>
      <c r="G60" s="6" t="n">
        <f aca="false">(E60+F60-E59)/E59</f>
        <v>0.0645655148304189</v>
      </c>
      <c r="H60" s="0" t="n">
        <v>0.3297</v>
      </c>
      <c r="I60" s="0" t="n">
        <v>0</v>
      </c>
      <c r="J60" s="6" t="n">
        <f aca="false">(H60+I60-H59)/H59</f>
        <v>0.0220086794792312</v>
      </c>
    </row>
    <row r="61" customFormat="false" ht="12.8" hidden="false" customHeight="false" outlineLevel="0" collapsed="false">
      <c r="A61" s="5" t="s">
        <v>67</v>
      </c>
      <c r="B61" s="0" t="n">
        <v>31.7524</v>
      </c>
      <c r="C61" s="0" t="n">
        <v>0.455</v>
      </c>
      <c r="D61" s="6" t="n">
        <f aca="false">(B61+C61-B60)/B60</f>
        <v>0.0312274871046135</v>
      </c>
      <c r="E61" s="0" t="n">
        <v>17.8427</v>
      </c>
      <c r="F61" s="0" t="n">
        <v>0</v>
      </c>
      <c r="G61" s="6" t="n">
        <f aca="false">(E61+F61-E60)/E60</f>
        <v>0.0102252846490509</v>
      </c>
      <c r="H61" s="0" t="n">
        <v>0.3481</v>
      </c>
      <c r="I61" s="0" t="n">
        <v>0</v>
      </c>
      <c r="J61" s="6" t="n">
        <f aca="false">(H61+I61-H60)/H60</f>
        <v>0.0558083105853807</v>
      </c>
    </row>
    <row r="62" customFormat="false" ht="12.8" hidden="false" customHeight="false" outlineLevel="0" collapsed="false">
      <c r="A62" s="5" t="s">
        <v>68</v>
      </c>
      <c r="B62" s="0" t="n">
        <v>32.2016</v>
      </c>
      <c r="C62" s="0" t="n">
        <v>0</v>
      </c>
      <c r="D62" s="6" t="n">
        <f aca="false">(B62+C62-B61)/B61</f>
        <v>0.0141469621193988</v>
      </c>
      <c r="E62" s="0" t="n">
        <v>17.12</v>
      </c>
      <c r="F62" s="0" t="n">
        <v>0</v>
      </c>
      <c r="G62" s="6" t="n">
        <f aca="false">(E62+F62-E61)/E61</f>
        <v>-0.0405039596025265</v>
      </c>
      <c r="H62" s="0" t="n">
        <v>0.3691</v>
      </c>
      <c r="I62" s="0" t="n">
        <v>0</v>
      </c>
      <c r="J62" s="6" t="n">
        <f aca="false">(H62+I62-H61)/H61</f>
        <v>0.0603274920999713</v>
      </c>
    </row>
    <row r="63" customFormat="false" ht="12.8" hidden="false" customHeight="false" outlineLevel="0" collapsed="false">
      <c r="A63" s="5" t="s">
        <v>69</v>
      </c>
      <c r="B63" s="0" t="n">
        <v>32.9461</v>
      </c>
      <c r="C63" s="0" t="n">
        <v>0</v>
      </c>
      <c r="D63" s="6" t="n">
        <f aca="false">(B63+C63-B62)/B62</f>
        <v>0.0231199691940774</v>
      </c>
      <c r="E63" s="0" t="n">
        <v>16.0875</v>
      </c>
      <c r="F63" s="0" t="n">
        <v>0</v>
      </c>
      <c r="G63" s="6" t="n">
        <f aca="false">(E63+F63-E62)/E62</f>
        <v>-0.0603095794392525</v>
      </c>
      <c r="H63" s="0" t="n">
        <v>0.4172</v>
      </c>
      <c r="I63" s="0" t="n">
        <v>0</v>
      </c>
      <c r="J63" s="6" t="n">
        <f aca="false">(H63+I63-H62)/H62</f>
        <v>0.130316987266323</v>
      </c>
    </row>
    <row r="64" customFormat="false" ht="12.8" hidden="false" customHeight="false" outlineLevel="0" collapsed="false">
      <c r="A64" s="5" t="s">
        <v>70</v>
      </c>
      <c r="B64" s="0" t="n">
        <v>33.3798</v>
      </c>
      <c r="C64" s="0" t="n">
        <v>0.5</v>
      </c>
      <c r="D64" s="6" t="n">
        <f aca="false">(B64+C64-B63)/B63</f>
        <v>0.0283402284337145</v>
      </c>
      <c r="E64" s="0" t="n">
        <v>16.8619</v>
      </c>
      <c r="F64" s="0" t="n">
        <v>0</v>
      </c>
      <c r="G64" s="6" t="n">
        <f aca="false">(E64+F64-E63)/E63</f>
        <v>0.0481367521367521</v>
      </c>
      <c r="H64" s="0" t="n">
        <v>0.3978</v>
      </c>
      <c r="I64" s="0" t="n">
        <v>0</v>
      </c>
      <c r="J64" s="6" t="n">
        <f aca="false">(H64+I64-H63)/H63</f>
        <v>-0.0465004793863854</v>
      </c>
    </row>
    <row r="65" customFormat="false" ht="12.8" hidden="false" customHeight="false" outlineLevel="0" collapsed="false">
      <c r="A65" s="5" t="s">
        <v>71</v>
      </c>
      <c r="B65" s="0" t="n">
        <v>34.0332</v>
      </c>
      <c r="C65" s="0" t="n">
        <v>0</v>
      </c>
      <c r="D65" s="6" t="n">
        <f aca="false">(B65+C65-B64)/B64</f>
        <v>0.0195747128502866</v>
      </c>
      <c r="E65" s="0" t="n">
        <v>16.9264</v>
      </c>
      <c r="F65" s="0" t="n">
        <v>0</v>
      </c>
      <c r="G65" s="6" t="n">
        <f aca="false">(E65+F65-E64)/E64</f>
        <v>0.0038251917043751</v>
      </c>
      <c r="H65" s="0" t="n">
        <v>0.4329</v>
      </c>
      <c r="I65" s="0" t="n">
        <v>0</v>
      </c>
      <c r="J65" s="6" t="n">
        <f aca="false">(H65+I65-H64)/H64</f>
        <v>0.088235294117647</v>
      </c>
    </row>
    <row r="66" customFormat="false" ht="12.8" hidden="false" customHeight="false" outlineLevel="0" collapsed="false">
      <c r="A66" s="5" t="s">
        <v>72</v>
      </c>
      <c r="B66" s="0" t="n">
        <v>34.3678</v>
      </c>
      <c r="C66" s="0" t="n">
        <v>0</v>
      </c>
      <c r="D66" s="6" t="n">
        <f aca="false">(B66+C66-B65)/B65</f>
        <v>0.00983157622556803</v>
      </c>
      <c r="E66" s="0" t="n">
        <v>18.43</v>
      </c>
      <c r="F66" s="0" t="n">
        <v>0</v>
      </c>
      <c r="G66" s="6" t="n">
        <f aca="false">(E66+F66-E65)/E65</f>
        <v>0.0888316476037432</v>
      </c>
      <c r="H66" s="0" t="n">
        <v>0.5021</v>
      </c>
      <c r="I66" s="0" t="n">
        <v>0</v>
      </c>
      <c r="J66" s="6" t="n">
        <f aca="false">(H66+I66-H65)/H65</f>
        <v>0.15985215985216</v>
      </c>
    </row>
    <row r="67" customFormat="false" ht="12.8" hidden="false" customHeight="false" outlineLevel="0" collapsed="false">
      <c r="A67" s="5" t="s">
        <v>73</v>
      </c>
      <c r="B67" s="0" t="n">
        <v>33.0767</v>
      </c>
      <c r="C67" s="0" t="n">
        <v>0.25</v>
      </c>
      <c r="D67" s="6" t="n">
        <f aca="false">(B67+C67-B66)/B66</f>
        <v>-0.0302928904381427</v>
      </c>
      <c r="E67" s="0" t="n">
        <v>18.3848</v>
      </c>
      <c r="F67" s="0" t="n">
        <v>0</v>
      </c>
      <c r="G67" s="6" t="n">
        <f aca="false">(E67+F67-E66)/E66</f>
        <v>-0.00245252306022796</v>
      </c>
      <c r="H67" s="0" t="n">
        <v>0.499</v>
      </c>
      <c r="I67" s="0" t="n">
        <v>0</v>
      </c>
      <c r="J67" s="6" t="n">
        <f aca="false">(H67+I67-H66)/H66</f>
        <v>-0.00617406891057557</v>
      </c>
    </row>
    <row r="68" customFormat="false" ht="12.8" hidden="false" customHeight="false" outlineLevel="0" collapsed="false">
      <c r="A68" s="5" t="s">
        <v>74</v>
      </c>
      <c r="B68" s="0" t="n">
        <v>35.4996</v>
      </c>
      <c r="C68" s="0" t="n">
        <v>0</v>
      </c>
      <c r="D68" s="6" t="n">
        <f aca="false">(B68+C68-B67)/B67</f>
        <v>0.0732509591343755</v>
      </c>
      <c r="E68" s="0" t="n">
        <v>17.6686</v>
      </c>
      <c r="F68" s="0" t="n">
        <v>0.08</v>
      </c>
      <c r="G68" s="6" t="n">
        <f aca="false">(E68+F68-E67)/E67</f>
        <v>-0.0346046734258735</v>
      </c>
      <c r="H68" s="0" t="n">
        <v>0.5322</v>
      </c>
      <c r="I68" s="0" t="n">
        <v>0</v>
      </c>
      <c r="J68" s="6" t="n">
        <f aca="false">(H68+I68-H67)/H67</f>
        <v>0.0665330661322646</v>
      </c>
    </row>
    <row r="69" customFormat="false" ht="12.8" hidden="false" customHeight="false" outlineLevel="0" collapsed="false">
      <c r="A69" s="5" t="s">
        <v>75</v>
      </c>
      <c r="B69" s="0" t="n">
        <v>34.3262</v>
      </c>
      <c r="C69" s="0" t="n">
        <v>0</v>
      </c>
      <c r="D69" s="6" t="n">
        <f aca="false">(B69+C69-B68)/B68</f>
        <v>-0.0330538935649979</v>
      </c>
      <c r="E69" s="0" t="n">
        <v>17.8952</v>
      </c>
      <c r="F69" s="0" t="n">
        <v>0</v>
      </c>
      <c r="G69" s="6" t="n">
        <f aca="false">(E69+F69-E68)/E68</f>
        <v>0.0128250116025037</v>
      </c>
      <c r="H69" s="0" t="n">
        <v>0.5979</v>
      </c>
      <c r="I69" s="0" t="n">
        <v>0</v>
      </c>
      <c r="J69" s="6" t="n">
        <f aca="false">(H69+I69-H68)/H68</f>
        <v>0.123449830890643</v>
      </c>
    </row>
    <row r="70" customFormat="false" ht="12.8" hidden="false" customHeight="false" outlineLevel="0" collapsed="false">
      <c r="A70" s="5" t="s">
        <v>76</v>
      </c>
      <c r="B70" s="0" t="n">
        <v>32.613</v>
      </c>
      <c r="C70" s="0" t="n">
        <v>0.25</v>
      </c>
      <c r="D70" s="6" t="n">
        <f aca="false">(B70+C70-B69)/B69</f>
        <v>-0.0426263320728773</v>
      </c>
      <c r="E70" s="0" t="n">
        <v>18.1023</v>
      </c>
      <c r="F70" s="0" t="n">
        <v>0</v>
      </c>
      <c r="G70" s="6" t="n">
        <f aca="false">(E70+F70-E69)/E69</f>
        <v>0.0115729357593098</v>
      </c>
      <c r="H70" s="0" t="n">
        <v>0.8085</v>
      </c>
      <c r="I70" s="0" t="n">
        <v>0</v>
      </c>
      <c r="J70" s="6" t="n">
        <f aca="false">(H70+I70-H69)/H69</f>
        <v>0.352232814851982</v>
      </c>
    </row>
    <row r="71" customFormat="false" ht="12.8" hidden="false" customHeight="false" outlineLevel="0" collapsed="false">
      <c r="A71" s="5" t="s">
        <v>77</v>
      </c>
      <c r="B71" s="0" t="n">
        <v>34.0786</v>
      </c>
      <c r="C71" s="0" t="n">
        <v>0</v>
      </c>
      <c r="D71" s="6" t="n">
        <f aca="false">(B71+C71-B70)/B70</f>
        <v>0.0449391347008862</v>
      </c>
      <c r="E71" s="0" t="n">
        <v>19.3027</v>
      </c>
      <c r="F71" s="0" t="n">
        <v>3.08</v>
      </c>
      <c r="G71" s="6" t="n">
        <f aca="false">(E71+F71-E70)/E70</f>
        <v>0.236456140932368</v>
      </c>
      <c r="H71" s="0" t="n">
        <v>1.0345</v>
      </c>
      <c r="I71" s="0" t="n">
        <v>0</v>
      </c>
      <c r="J71" s="6" t="n">
        <f aca="false">(H71+I71-H70)/H70</f>
        <v>0.279529993815708</v>
      </c>
    </row>
    <row r="72" customFormat="false" ht="12.8" hidden="false" customHeight="false" outlineLevel="0" collapsed="false">
      <c r="A72" s="5" t="s">
        <v>78</v>
      </c>
      <c r="B72" s="0" t="n">
        <v>35.0982</v>
      </c>
      <c r="C72" s="0" t="n">
        <v>0</v>
      </c>
      <c r="D72" s="6" t="n">
        <f aca="false">(B72+C72-B71)/B71</f>
        <v>0.029919069445341</v>
      </c>
      <c r="E72" s="0" t="n">
        <v>19.2379</v>
      </c>
      <c r="F72" s="0" t="n">
        <v>0</v>
      </c>
      <c r="G72" s="6" t="n">
        <f aca="false">(E72+F72-E71)/E71</f>
        <v>-0.00335704331518398</v>
      </c>
      <c r="H72" s="0" t="n">
        <v>0.9936</v>
      </c>
      <c r="I72" s="0" t="n">
        <v>0</v>
      </c>
      <c r="J72" s="6" t="n">
        <f aca="false">(H72+I72-H71)/H71</f>
        <v>-0.0395360077332044</v>
      </c>
    </row>
    <row r="73" customFormat="false" ht="12.8" hidden="false" customHeight="false" outlineLevel="0" collapsed="false">
      <c r="A73" s="5" t="s">
        <v>79</v>
      </c>
      <c r="B73" s="0" t="n">
        <v>34.0689</v>
      </c>
      <c r="C73" s="0" t="n">
        <v>0.25</v>
      </c>
      <c r="D73" s="6" t="n">
        <f aca="false">(B73+C73-B72)/B72</f>
        <v>-0.0222034178390914</v>
      </c>
      <c r="E73" s="0" t="n">
        <v>18.9211</v>
      </c>
      <c r="F73" s="0" t="n">
        <v>0</v>
      </c>
      <c r="G73" s="6" t="n">
        <f aca="false">(E73+F73-E72)/E72</f>
        <v>-0.0164674938532792</v>
      </c>
      <c r="H73" s="0" t="n">
        <v>1.1865</v>
      </c>
      <c r="I73" s="0" t="n">
        <v>0</v>
      </c>
      <c r="J73" s="6" t="n">
        <f aca="false">(H73+I73-H72)/H72</f>
        <v>0.194142512077295</v>
      </c>
    </row>
    <row r="74" customFormat="false" ht="12.8" hidden="false" customHeight="false" outlineLevel="0" collapsed="false">
      <c r="A74" s="5" t="s">
        <v>80</v>
      </c>
      <c r="B74" s="0" t="n">
        <v>33.9793</v>
      </c>
      <c r="C74" s="0" t="n">
        <v>0</v>
      </c>
      <c r="D74" s="6" t="n">
        <f aca="false">(B74+C74-B73)/B73</f>
        <v>-0.00262996457179414</v>
      </c>
      <c r="E74" s="0" t="n">
        <v>18.1706</v>
      </c>
      <c r="F74" s="0" t="n">
        <v>0.08</v>
      </c>
      <c r="G74" s="6" t="n">
        <f aca="false">(E74+F74-E73)/E73</f>
        <v>-0.0354366289486341</v>
      </c>
      <c r="H74" s="0" t="n">
        <v>1.3843</v>
      </c>
      <c r="I74" s="0" t="n">
        <v>0</v>
      </c>
      <c r="J74" s="6" t="n">
        <f aca="false">(H74+I74-H73)/H73</f>
        <v>0.166708807416772</v>
      </c>
    </row>
    <row r="75" customFormat="false" ht="12.8" hidden="false" customHeight="false" outlineLevel="0" collapsed="false">
      <c r="A75" s="5" t="s">
        <v>81</v>
      </c>
      <c r="B75" s="0" t="n">
        <v>33.9217</v>
      </c>
      <c r="C75" s="0" t="n">
        <v>0</v>
      </c>
      <c r="D75" s="6" t="n">
        <f aca="false">(B75+C75-B74)/B74</f>
        <v>-0.00169514969407848</v>
      </c>
      <c r="E75" s="0" t="n">
        <v>17.4556</v>
      </c>
      <c r="F75" s="0" t="n">
        <v>0</v>
      </c>
      <c r="G75" s="6" t="n">
        <f aca="false">(E75+F75-E74)/E74</f>
        <v>-0.0393492785048375</v>
      </c>
      <c r="H75" s="0" t="n">
        <v>1.2859</v>
      </c>
      <c r="I75" s="0" t="n">
        <v>0</v>
      </c>
      <c r="J75" s="6" t="n">
        <f aca="false">(H75+I75-H74)/H74</f>
        <v>-0.0710828577620458</v>
      </c>
    </row>
    <row r="76" customFormat="false" ht="12.8" hidden="false" customHeight="false" outlineLevel="0" collapsed="false">
      <c r="A76" s="5" t="s">
        <v>82</v>
      </c>
      <c r="B76" s="0" t="n">
        <v>34.8395</v>
      </c>
      <c r="C76" s="0" t="n">
        <v>0.28</v>
      </c>
      <c r="D76" s="6" t="n">
        <f aca="false">(B76+C76-B75)/B75</f>
        <v>0.0353107302994838</v>
      </c>
      <c r="E76" s="0" t="n">
        <v>18.2717</v>
      </c>
      <c r="F76" s="0" t="n">
        <v>0</v>
      </c>
      <c r="G76" s="6" t="n">
        <f aca="false">(E76+F76-E75)/E75</f>
        <v>0.046752904512019</v>
      </c>
      <c r="H76" s="0" t="n">
        <v>1.1128</v>
      </c>
      <c r="I76" s="0" t="n">
        <v>0</v>
      </c>
      <c r="J76" s="6" t="n">
        <f aca="false">(H76+I76-H75)/H75</f>
        <v>-0.134613889104907</v>
      </c>
    </row>
    <row r="77" customFormat="false" ht="12.8" hidden="false" customHeight="false" outlineLevel="0" collapsed="false">
      <c r="A77" s="5" t="s">
        <v>83</v>
      </c>
      <c r="B77" s="0" t="n">
        <v>35.4829</v>
      </c>
      <c r="C77" s="0" t="n">
        <v>0</v>
      </c>
      <c r="D77" s="6" t="n">
        <f aca="false">(B77+C77-B76)/B76</f>
        <v>0.0184675440233069</v>
      </c>
      <c r="E77" s="0" t="n">
        <v>18.6913</v>
      </c>
      <c r="F77" s="0" t="n">
        <v>0.08</v>
      </c>
      <c r="G77" s="6" t="n">
        <f aca="false">(E77+F77-E76)/E76</f>
        <v>0.0273428307163536</v>
      </c>
      <c r="H77" s="0" t="n">
        <v>1.2269</v>
      </c>
      <c r="I77" s="0" t="n">
        <v>0</v>
      </c>
      <c r="J77" s="6" t="n">
        <f aca="false">(H77+I77-H76)/H76</f>
        <v>0.102534148094896</v>
      </c>
    </row>
    <row r="78" customFormat="false" ht="12.8" hidden="false" customHeight="false" outlineLevel="0" collapsed="false">
      <c r="A78" s="5" t="s">
        <v>84</v>
      </c>
      <c r="B78" s="0" t="n">
        <v>33.9388</v>
      </c>
      <c r="C78" s="0" t="n">
        <v>0</v>
      </c>
      <c r="D78" s="6" t="n">
        <f aca="false">(B78+C78-B77)/B77</f>
        <v>-0.0435167362306914</v>
      </c>
      <c r="E78" s="0" t="n">
        <v>17.9958</v>
      </c>
      <c r="F78" s="0" t="n">
        <v>0</v>
      </c>
      <c r="G78" s="6" t="n">
        <f aca="false">(E78+F78-E77)/E77</f>
        <v>-0.0372098248917945</v>
      </c>
      <c r="H78" s="0" t="n">
        <v>1.1359</v>
      </c>
      <c r="I78" s="0" t="n">
        <v>0</v>
      </c>
      <c r="J78" s="6" t="n">
        <f aca="false">(H78+I78-H77)/H77</f>
        <v>-0.0741706740565655</v>
      </c>
    </row>
    <row r="79" customFormat="false" ht="12.8" hidden="false" customHeight="false" outlineLevel="0" collapsed="false">
      <c r="A79" s="5" t="s">
        <v>85</v>
      </c>
      <c r="B79" s="0" t="n">
        <v>35.9739</v>
      </c>
      <c r="C79" s="0" t="n">
        <v>0.28</v>
      </c>
      <c r="D79" s="6" t="n">
        <f aca="false">(B79+C79-B78)/B78</f>
        <v>0.0682139616014709</v>
      </c>
      <c r="E79" s="0" t="n">
        <v>18.5536</v>
      </c>
      <c r="F79" s="0" t="n">
        <v>0</v>
      </c>
      <c r="G79" s="6" t="n">
        <f aca="false">(E79+F79-E78)/E78</f>
        <v>0.0309961213171963</v>
      </c>
      <c r="H79" s="0" t="n">
        <v>1.3161</v>
      </c>
      <c r="I79" s="0" t="n">
        <v>0</v>
      </c>
      <c r="J79" s="6" t="n">
        <f aca="false">(H79+I79-H78)/H78</f>
        <v>0.15864072541597</v>
      </c>
    </row>
    <row r="80" customFormat="false" ht="12.8" hidden="false" customHeight="false" outlineLevel="0" collapsed="false">
      <c r="A80" s="5" t="s">
        <v>86</v>
      </c>
      <c r="B80" s="0" t="n">
        <v>35.8769</v>
      </c>
      <c r="C80" s="0" t="n">
        <v>0</v>
      </c>
      <c r="D80" s="6" t="n">
        <f aca="false">(B80+C80-B79)/B79</f>
        <v>-0.0026963993339616</v>
      </c>
      <c r="E80" s="0" t="n">
        <v>19.8944</v>
      </c>
      <c r="F80" s="0" t="n">
        <v>0.08</v>
      </c>
      <c r="G80" s="6" t="n">
        <f aca="false">(E80+F80-E79)/E79</f>
        <v>0.0765781303897896</v>
      </c>
      <c r="H80" s="0" t="n">
        <v>1.4469</v>
      </c>
      <c r="I80" s="0" t="n">
        <v>0</v>
      </c>
      <c r="J80" s="6" t="n">
        <f aca="false">(H80+I80-H79)/H79</f>
        <v>0.0993845452473217</v>
      </c>
    </row>
    <row r="81" customFormat="false" ht="12.8" hidden="false" customHeight="false" outlineLevel="0" collapsed="false">
      <c r="A81" s="5" t="s">
        <v>87</v>
      </c>
      <c r="B81" s="0" t="n">
        <v>38.4506</v>
      </c>
      <c r="C81" s="0" t="n">
        <v>0</v>
      </c>
      <c r="D81" s="6" t="n">
        <f aca="false">(B81+C81-B80)/B80</f>
        <v>0.0717369672407594</v>
      </c>
      <c r="E81" s="0" t="n">
        <v>18.6955</v>
      </c>
      <c r="F81" s="0" t="n">
        <v>0</v>
      </c>
      <c r="G81" s="6" t="n">
        <f aca="false">(E81+F81-E80)/E80</f>
        <v>-0.0602631896413062</v>
      </c>
      <c r="H81" s="0" t="n">
        <v>1.6543</v>
      </c>
      <c r="I81" s="0" t="n">
        <v>0</v>
      </c>
      <c r="J81" s="6" t="n">
        <f aca="false">(H81+I81-H80)/H80</f>
        <v>0.143340935793766</v>
      </c>
    </row>
    <row r="82" customFormat="false" ht="12.8" hidden="false" customHeight="false" outlineLevel="0" collapsed="false">
      <c r="A82" s="5" t="s">
        <v>88</v>
      </c>
      <c r="B82" s="0" t="n">
        <v>36.3888</v>
      </c>
      <c r="C82" s="0" t="n">
        <v>0.28</v>
      </c>
      <c r="D82" s="6" t="n">
        <f aca="false">(B82+C82-B81)/B81</f>
        <v>-0.0463399790900531</v>
      </c>
      <c r="E82" s="0" t="n">
        <v>18.6737</v>
      </c>
      <c r="F82" s="0" t="n">
        <v>0</v>
      </c>
      <c r="G82" s="6" t="n">
        <f aca="false">(E82+F82-E81)/E81</f>
        <v>-0.00116605600278136</v>
      </c>
      <c r="H82" s="0" t="n">
        <v>1.7771</v>
      </c>
      <c r="I82" s="0" t="n">
        <v>0</v>
      </c>
      <c r="J82" s="6" t="n">
        <f aca="false">(H82+I82-H81)/H81</f>
        <v>0.074230792480203</v>
      </c>
    </row>
    <row r="83" customFormat="false" ht="12.8" hidden="false" customHeight="false" outlineLevel="0" collapsed="false">
      <c r="A83" s="5" t="s">
        <v>89</v>
      </c>
      <c r="B83" s="0" t="n">
        <v>37.1687</v>
      </c>
      <c r="C83" s="0" t="n">
        <v>0</v>
      </c>
      <c r="D83" s="6" t="n">
        <f aca="false">(B83+C83-B82)/B82</f>
        <v>0.0214324187662137</v>
      </c>
      <c r="E83" s="0" t="n">
        <v>20.1709</v>
      </c>
      <c r="F83" s="0" t="n">
        <v>0.08</v>
      </c>
      <c r="G83" s="6" t="n">
        <f aca="false">(E83+F83-E82)/E82</f>
        <v>0.084461033432046</v>
      </c>
      <c r="H83" s="0" t="n">
        <v>2.0928</v>
      </c>
      <c r="I83" s="0" t="n">
        <v>0</v>
      </c>
      <c r="J83" s="6" t="n">
        <f aca="false">(H83+I83-H82)/H82</f>
        <v>0.177648978673119</v>
      </c>
    </row>
    <row r="84" customFormat="false" ht="12.8" hidden="false" customHeight="false" outlineLevel="0" collapsed="false">
      <c r="A84" s="5" t="s">
        <v>90</v>
      </c>
      <c r="B84" s="0" t="n">
        <v>37.6171</v>
      </c>
      <c r="C84" s="0" t="n">
        <v>0</v>
      </c>
      <c r="D84" s="6" t="n">
        <f aca="false">(B84+C84-B83)/B83</f>
        <v>0.0120639139921493</v>
      </c>
      <c r="E84" s="0" t="n">
        <v>19.056</v>
      </c>
      <c r="F84" s="0" t="n">
        <v>0</v>
      </c>
      <c r="G84" s="6" t="n">
        <f aca="false">(E84+F84-E83)/E83</f>
        <v>-0.0552726948227396</v>
      </c>
      <c r="H84" s="0" t="n">
        <v>2.2184</v>
      </c>
      <c r="I84" s="0" t="n">
        <v>0</v>
      </c>
      <c r="J84" s="6" t="n">
        <f aca="false">(H84+I84-H83)/H83</f>
        <v>0.0600152905198777</v>
      </c>
    </row>
    <row r="85" customFormat="false" ht="12.8" hidden="false" customHeight="false" outlineLevel="0" collapsed="false">
      <c r="A85" s="5" t="s">
        <v>91</v>
      </c>
      <c r="B85" s="0" t="n">
        <v>38.6786</v>
      </c>
      <c r="C85" s="0" t="n">
        <v>0.28</v>
      </c>
      <c r="D85" s="6" t="n">
        <f aca="false">(B85+C85-B84)/B84</f>
        <v>0.0356619728793555</v>
      </c>
      <c r="E85" s="0" t="n">
        <v>20.5134</v>
      </c>
      <c r="F85" s="0" t="n">
        <v>0</v>
      </c>
      <c r="G85" s="6" t="n">
        <f aca="false">(E85+F85-E84)/E84</f>
        <v>0.0764798488664987</v>
      </c>
      <c r="H85" s="0" t="n">
        <v>2.3301</v>
      </c>
      <c r="I85" s="0" t="n">
        <v>0</v>
      </c>
      <c r="J85" s="6" t="n">
        <f aca="false">(H85+I85-H84)/H84</f>
        <v>0.0503516047601875</v>
      </c>
    </row>
    <row r="86" customFormat="false" ht="12.8" hidden="false" customHeight="false" outlineLevel="0" collapsed="false">
      <c r="A86" s="5" t="s">
        <v>92</v>
      </c>
      <c r="B86" s="0" t="n">
        <v>39.1357</v>
      </c>
      <c r="C86" s="0" t="n">
        <v>0</v>
      </c>
      <c r="D86" s="6" t="n">
        <f aca="false">(B86+C86-B85)/B85</f>
        <v>0.0118179044743087</v>
      </c>
      <c r="E86" s="0" t="n">
        <v>19.6462</v>
      </c>
      <c r="F86" s="0" t="n">
        <v>0.09</v>
      </c>
      <c r="G86" s="6" t="n">
        <f aca="false">(E86+F86-E85)/E85</f>
        <v>-0.0378874296801116</v>
      </c>
      <c r="H86" s="0" t="n">
        <v>2.1135</v>
      </c>
      <c r="I86" s="0" t="n">
        <v>0</v>
      </c>
      <c r="J86" s="6" t="n">
        <f aca="false">(H86+I86-H85)/H85</f>
        <v>-0.0929573838032701</v>
      </c>
    </row>
    <row r="87" customFormat="false" ht="12.8" hidden="false" customHeight="false" outlineLevel="0" collapsed="false">
      <c r="A87" s="5" t="s">
        <v>93</v>
      </c>
      <c r="B87" s="0" t="n">
        <v>37.6338</v>
      </c>
      <c r="C87" s="0" t="n">
        <v>0</v>
      </c>
      <c r="D87" s="6" t="n">
        <f aca="false">(B87+C87-B86)/B86</f>
        <v>-0.0383767250873243</v>
      </c>
      <c r="E87" s="0" t="n">
        <v>19.8948</v>
      </c>
      <c r="F87" s="0" t="n">
        <v>0</v>
      </c>
      <c r="G87" s="6" t="n">
        <f aca="false">(E87+F87-E86)/E86</f>
        <v>0.0126538465453879</v>
      </c>
      <c r="H87" s="0" t="n">
        <v>1.9354</v>
      </c>
      <c r="I87" s="0" t="n">
        <v>0</v>
      </c>
      <c r="J87" s="6" t="n">
        <f aca="false">(H87+I87-H86)/H86</f>
        <v>-0.0842678022237994</v>
      </c>
    </row>
    <row r="88" customFormat="false" ht="12.8" hidden="false" customHeight="false" outlineLevel="0" collapsed="false">
      <c r="A88" s="5" t="s">
        <v>94</v>
      </c>
      <c r="B88" s="0" t="n">
        <v>38.2227</v>
      </c>
      <c r="C88" s="0" t="n">
        <v>0.31</v>
      </c>
      <c r="D88" s="6" t="n">
        <f aca="false">(B88+C88-B87)/B87</f>
        <v>0.0238854434045992</v>
      </c>
      <c r="E88" s="0" t="n">
        <v>17.6575</v>
      </c>
      <c r="F88" s="0" t="n">
        <v>0</v>
      </c>
      <c r="G88" s="6" t="n">
        <f aca="false">(E88+F88-E87)/E87</f>
        <v>-0.112456521302049</v>
      </c>
      <c r="H88" s="0" t="n">
        <v>2.1721</v>
      </c>
      <c r="I88" s="0" t="n">
        <v>0</v>
      </c>
      <c r="J88" s="6" t="n">
        <f aca="false">(H88+I88-H87)/H87</f>
        <v>0.122300299679653</v>
      </c>
    </row>
    <row r="89" customFormat="false" ht="12.8" hidden="false" customHeight="false" outlineLevel="0" collapsed="false">
      <c r="A89" s="5" t="s">
        <v>95</v>
      </c>
      <c r="B89" s="0" t="n">
        <v>35.6224</v>
      </c>
      <c r="C89" s="0" t="n">
        <v>0</v>
      </c>
      <c r="D89" s="6" t="n">
        <f aca="false">(B89+C89-B88)/B88</f>
        <v>-0.0680302542729845</v>
      </c>
      <c r="E89" s="0" t="n">
        <v>16.6251</v>
      </c>
      <c r="F89" s="0" t="n">
        <v>0.09</v>
      </c>
      <c r="G89" s="6" t="n">
        <f aca="false">(E89+F89-E88)/E88</f>
        <v>-0.0533710887724762</v>
      </c>
      <c r="H89" s="0" t="n">
        <v>1.8444</v>
      </c>
      <c r="I89" s="0" t="n">
        <v>0</v>
      </c>
      <c r="J89" s="6" t="n">
        <f aca="false">(H89+I89-H88)/H88</f>
        <v>-0.15086782376502</v>
      </c>
    </row>
    <row r="90" customFormat="false" ht="12.8" hidden="false" customHeight="false" outlineLevel="0" collapsed="false">
      <c r="A90" s="5" t="s">
        <v>96</v>
      </c>
      <c r="B90" s="0" t="n">
        <v>36.5089</v>
      </c>
      <c r="C90" s="0" t="n">
        <v>0</v>
      </c>
      <c r="D90" s="6" t="n">
        <f aca="false">(B90+C90-B89)/B89</f>
        <v>0.024886026769673</v>
      </c>
      <c r="E90" s="0" t="n">
        <v>17.1022</v>
      </c>
      <c r="F90" s="0" t="n">
        <v>0</v>
      </c>
      <c r="G90" s="6" t="n">
        <f aca="false">(E90+F90-E89)/E89</f>
        <v>0.0286975717439294</v>
      </c>
      <c r="H90" s="0" t="n">
        <v>1.7673</v>
      </c>
      <c r="I90" s="0" t="n">
        <v>0</v>
      </c>
      <c r="J90" s="6" t="n">
        <f aca="false">(H90+I90-H89)/H89</f>
        <v>-0.0418022121014964</v>
      </c>
    </row>
    <row r="91" customFormat="false" ht="12.8" hidden="false" customHeight="false" outlineLevel="0" collapsed="false">
      <c r="A91" s="5" t="s">
        <v>97</v>
      </c>
      <c r="B91" s="0" t="n">
        <v>37.1048</v>
      </c>
      <c r="C91" s="0" t="n">
        <v>0.31</v>
      </c>
      <c r="D91" s="6" t="n">
        <f aca="false">(B91+C91-B90)/B90</f>
        <v>0.0248131277578892</v>
      </c>
      <c r="E91" s="0" t="n">
        <v>17.6601</v>
      </c>
      <c r="F91" s="0" t="n">
        <v>0</v>
      </c>
      <c r="G91" s="6" t="n">
        <f aca="false">(E91+F91-E90)/E90</f>
        <v>0.0326215340716399</v>
      </c>
      <c r="H91" s="0" t="n">
        <v>2.0971</v>
      </c>
      <c r="I91" s="0" t="n">
        <v>0</v>
      </c>
      <c r="J91" s="6" t="n">
        <f aca="false">(H91+I91-H90)/H90</f>
        <v>0.186612346517286</v>
      </c>
    </row>
    <row r="92" customFormat="false" ht="12.8" hidden="false" customHeight="false" outlineLevel="0" collapsed="false">
      <c r="A92" s="5" t="s">
        <v>98</v>
      </c>
      <c r="B92" s="0" t="n">
        <v>40.8681</v>
      </c>
      <c r="C92" s="0" t="n">
        <v>0</v>
      </c>
      <c r="D92" s="6" t="n">
        <f aca="false">(B92+C92-B91)/B91</f>
        <v>0.10142353549945</v>
      </c>
      <c r="E92" s="0" t="n">
        <v>18.9328</v>
      </c>
      <c r="F92" s="0" t="n">
        <v>0.09</v>
      </c>
      <c r="G92" s="6" t="n">
        <f aca="false">(E92+F92-E91)/E91</f>
        <v>0.07716264347314</v>
      </c>
      <c r="H92" s="0" t="n">
        <v>2.0937</v>
      </c>
      <c r="I92" s="0" t="n">
        <v>0</v>
      </c>
      <c r="J92" s="6" t="n">
        <f aca="false">(H92+I92-H91)/H91</f>
        <v>-0.00162128653855327</v>
      </c>
    </row>
    <row r="93" customFormat="false" ht="12.8" hidden="false" customHeight="false" outlineLevel="0" collapsed="false">
      <c r="A93" s="5" t="s">
        <v>99</v>
      </c>
      <c r="B93" s="0" t="n">
        <v>40.9209</v>
      </c>
      <c r="C93" s="0" t="n">
        <v>0</v>
      </c>
      <c r="D93" s="6" t="n">
        <f aca="false">(B93+C93-B92)/B92</f>
        <v>0.00129196121180101</v>
      </c>
      <c r="E93" s="0" t="n">
        <v>20.1483</v>
      </c>
      <c r="F93" s="0" t="n">
        <v>0</v>
      </c>
      <c r="G93" s="6" t="n">
        <f aca="false">(E93+F93-E92)/E92</f>
        <v>0.0642007521338629</v>
      </c>
      <c r="H93" s="0" t="n">
        <v>2.3755</v>
      </c>
      <c r="I93" s="0" t="n">
        <v>0</v>
      </c>
      <c r="J93" s="6" t="n">
        <f aca="false">(H93+I93-H92)/H92</f>
        <v>0.134594258967378</v>
      </c>
    </row>
    <row r="94" customFormat="false" ht="12.8" hidden="false" customHeight="false" outlineLevel="0" collapsed="false">
      <c r="A94" s="5" t="s">
        <v>100</v>
      </c>
      <c r="B94" s="0" t="n">
        <v>42.0592</v>
      </c>
      <c r="C94" s="0" t="n">
        <v>0.31</v>
      </c>
      <c r="D94" s="6" t="n">
        <f aca="false">(B94+C94-B93)/B93</f>
        <v>0.0353926722041792</v>
      </c>
      <c r="E94" s="0" t="n">
        <v>21.1502</v>
      </c>
      <c r="F94" s="0" t="n">
        <v>0</v>
      </c>
      <c r="G94" s="6" t="n">
        <f aca="false">(E94+F94-E93)/E93</f>
        <v>0.0497262796364955</v>
      </c>
      <c r="H94" s="0" t="n">
        <v>2.502</v>
      </c>
      <c r="I94" s="0" t="n">
        <v>0</v>
      </c>
      <c r="J94" s="6" t="n">
        <f aca="false">(H94+I94-H93)/H93</f>
        <v>0.0532519469585349</v>
      </c>
    </row>
    <row r="95" customFormat="false" ht="12.8" hidden="false" customHeight="false" outlineLevel="0" collapsed="false">
      <c r="A95" s="5" t="s">
        <v>101</v>
      </c>
      <c r="B95" s="0" t="n">
        <v>41.6611</v>
      </c>
      <c r="C95" s="0" t="n">
        <v>0</v>
      </c>
      <c r="D95" s="6" t="n">
        <f aca="false">(B95+C95-B94)/B94</f>
        <v>-0.00946522996157795</v>
      </c>
      <c r="E95" s="0" t="n">
        <v>21.703</v>
      </c>
      <c r="F95" s="0" t="n">
        <v>0.1</v>
      </c>
      <c r="G95" s="6" t="n">
        <f aca="false">(E95+F95-E94)/E94</f>
        <v>0.0308649563597507</v>
      </c>
      <c r="H95" s="0" t="n">
        <v>2.8285</v>
      </c>
      <c r="I95" s="0" t="n">
        <v>0</v>
      </c>
      <c r="J95" s="6" t="n">
        <f aca="false">(H95+I95-H94)/H94</f>
        <v>0.130495603517186</v>
      </c>
    </row>
    <row r="96" customFormat="false" ht="12.8" hidden="false" customHeight="false" outlineLevel="0" collapsed="false">
      <c r="A96" s="5" t="s">
        <v>102</v>
      </c>
      <c r="B96" s="0" t="n">
        <v>42.643</v>
      </c>
      <c r="C96" s="0" t="n">
        <v>0</v>
      </c>
      <c r="D96" s="6" t="n">
        <f aca="false">(B96+C96-B95)/B95</f>
        <v>0.0235687487848377</v>
      </c>
      <c r="E96" s="0" t="n">
        <v>22.0726</v>
      </c>
      <c r="F96" s="0" t="n">
        <v>0</v>
      </c>
      <c r="G96" s="6" t="n">
        <f aca="false">(E96+F96-E95)/E95</f>
        <v>0.0170299036999494</v>
      </c>
      <c r="H96" s="0" t="n">
        <v>2.618</v>
      </c>
      <c r="I96" s="0" t="n">
        <v>0</v>
      </c>
      <c r="J96" s="6" t="n">
        <f aca="false">(H96+I96-H95)/H95</f>
        <v>-0.0744210712391728</v>
      </c>
    </row>
    <row r="97" customFormat="false" ht="12.8" hidden="false" customHeight="false" outlineLevel="0" collapsed="false">
      <c r="A97" s="5" t="s">
        <v>103</v>
      </c>
      <c r="B97" s="0" t="n">
        <v>43.2453</v>
      </c>
      <c r="C97" s="0" t="n">
        <v>0.31</v>
      </c>
      <c r="D97" s="6" t="n">
        <f aca="false">(B97+C97-B96)/B96</f>
        <v>0.0213938981778956</v>
      </c>
      <c r="E97" s="0" t="n">
        <v>22.8118</v>
      </c>
      <c r="F97" s="0" t="n">
        <v>0</v>
      </c>
      <c r="G97" s="6" t="n">
        <f aca="false">(E97+F97-E96)/E96</f>
        <v>0.0334894847004884</v>
      </c>
      <c r="H97" s="0" t="n">
        <v>2.6455</v>
      </c>
      <c r="I97" s="0" t="n">
        <v>0</v>
      </c>
      <c r="J97" s="6" t="n">
        <f aca="false">(H97+I97-H96)/H96</f>
        <v>0.0105042016806724</v>
      </c>
    </row>
    <row r="98" customFormat="false" ht="12.8" hidden="false" customHeight="false" outlineLevel="0" collapsed="false">
      <c r="A98" s="5" t="s">
        <v>104</v>
      </c>
      <c r="B98" s="0" t="n">
        <v>42.3253</v>
      </c>
      <c r="C98" s="0" t="n">
        <v>0</v>
      </c>
      <c r="D98" s="6" t="n">
        <f aca="false">(B98+C98-B97)/B97</f>
        <v>-0.0212739881559384</v>
      </c>
      <c r="E98" s="0" t="n">
        <v>20.8952</v>
      </c>
      <c r="F98" s="0" t="n">
        <v>0.1</v>
      </c>
      <c r="G98" s="6" t="n">
        <f aca="false">(E98+F98-E97)/E97</f>
        <v>-0.0796342243926389</v>
      </c>
      <c r="H98" s="0" t="n">
        <v>2.6109</v>
      </c>
      <c r="I98" s="0" t="n">
        <v>0</v>
      </c>
      <c r="J98" s="6" t="n">
        <f aca="false">(H98+I98-H97)/H97</f>
        <v>-0.0130788130788131</v>
      </c>
    </row>
    <row r="99" customFormat="false" ht="12.8" hidden="false" customHeight="false" outlineLevel="0" collapsed="false">
      <c r="A99" s="5" t="s">
        <v>105</v>
      </c>
      <c r="B99" s="0" t="n">
        <v>42.1053</v>
      </c>
      <c r="C99" s="0" t="n">
        <v>0</v>
      </c>
      <c r="D99" s="6" t="n">
        <f aca="false">(B99+C99-B98)/B98</f>
        <v>-0.00519783675484873</v>
      </c>
      <c r="E99" s="0" t="n">
        <v>20.6726</v>
      </c>
      <c r="F99" s="0" t="n">
        <v>0</v>
      </c>
      <c r="G99" s="6" t="n">
        <f aca="false">(E99+F99-E98)/E98</f>
        <v>-0.0106531643631073</v>
      </c>
      <c r="H99" s="0" t="n">
        <v>2.867</v>
      </c>
      <c r="I99" s="0" t="n">
        <v>0</v>
      </c>
      <c r="J99" s="6" t="n">
        <f aca="false">(H99+I99-H98)/H98</f>
        <v>0.0980887816461756</v>
      </c>
    </row>
    <row r="100" customFormat="false" ht="12.8" hidden="false" customHeight="false" outlineLevel="0" collapsed="false">
      <c r="A100" s="5" t="s">
        <v>106</v>
      </c>
      <c r="B100" s="0" t="n">
        <v>43.1685</v>
      </c>
      <c r="C100" s="0" t="n">
        <v>0.35</v>
      </c>
      <c r="D100" s="6" t="n">
        <f aca="false">(B100+C100-B99)/B99</f>
        <v>0.0335634706319633</v>
      </c>
      <c r="E100" s="0" t="n">
        <v>22.2081</v>
      </c>
      <c r="F100" s="0" t="n">
        <v>0</v>
      </c>
      <c r="G100" s="6" t="n">
        <f aca="false">(E100+F100-E99)/E99</f>
        <v>0.0742770623917651</v>
      </c>
      <c r="H100" s="0" t="n">
        <v>3.0797</v>
      </c>
      <c r="I100" s="0" t="n">
        <v>0</v>
      </c>
      <c r="J100" s="6" t="n">
        <f aca="false">(H100+I100-H99)/H99</f>
        <v>0.0741890477851412</v>
      </c>
    </row>
    <row r="101" customFormat="false" ht="12.8" hidden="false" customHeight="false" outlineLevel="0" collapsed="false">
      <c r="A101" s="5" t="s">
        <v>107</v>
      </c>
      <c r="B101" s="0" t="n">
        <v>42.5987</v>
      </c>
      <c r="C101" s="0" t="n">
        <v>0</v>
      </c>
      <c r="D101" s="6" t="n">
        <f aca="false">(B101+C101-B100)/B100</f>
        <v>-0.0131994394060484</v>
      </c>
      <c r="E101" s="0" t="n">
        <v>22.8381</v>
      </c>
      <c r="F101" s="0" t="n">
        <v>0.1</v>
      </c>
      <c r="G101" s="6" t="n">
        <f aca="false">(E101+F101-E100)/E100</f>
        <v>0.0328708894502456</v>
      </c>
      <c r="H101" s="0" t="n">
        <v>3.7398</v>
      </c>
      <c r="I101" s="0" t="n">
        <v>0</v>
      </c>
      <c r="J101" s="6" t="n">
        <f aca="false">(H101+I101-H100)/H100</f>
        <v>0.214339058999253</v>
      </c>
    </row>
    <row r="102" customFormat="false" ht="12.8" hidden="false" customHeight="false" outlineLevel="0" collapsed="false">
      <c r="A102" s="5" t="s">
        <v>108</v>
      </c>
      <c r="B102" s="0" t="n">
        <v>41.0168</v>
      </c>
      <c r="C102" s="0" t="n">
        <v>0</v>
      </c>
      <c r="D102" s="6" t="n">
        <f aca="false">(B102+C102-B101)/B101</f>
        <v>-0.0371349360426491</v>
      </c>
      <c r="E102" s="0" t="n">
        <v>21.9302</v>
      </c>
      <c r="F102" s="0" t="n">
        <v>0</v>
      </c>
      <c r="G102" s="6" t="n">
        <f aca="false">(E102+F102-E101)/E101</f>
        <v>-0.0397537448386688</v>
      </c>
      <c r="H102" s="0" t="n">
        <v>3.766</v>
      </c>
      <c r="I102" s="0" t="n">
        <v>0</v>
      </c>
      <c r="J102" s="6" t="n">
        <f aca="false">(H102+I102-H101)/H101</f>
        <v>0.00700572223113542</v>
      </c>
    </row>
    <row r="103" customFormat="false" ht="12.8" hidden="false" customHeight="false" outlineLevel="0" collapsed="false">
      <c r="A103" s="5" t="s">
        <v>109</v>
      </c>
      <c r="B103" s="0" t="n">
        <v>41.6977</v>
      </c>
      <c r="C103" s="0" t="n">
        <v>0.35</v>
      </c>
      <c r="D103" s="6" t="n">
        <f aca="false">(B103+C103-B102)/B102</f>
        <v>0.025133603791617</v>
      </c>
      <c r="E103" s="0" t="n">
        <v>21.573</v>
      </c>
      <c r="F103" s="0" t="n">
        <v>0</v>
      </c>
      <c r="G103" s="6" t="n">
        <f aca="false">(E103+F103-E102)/E102</f>
        <v>-0.0162880411487355</v>
      </c>
      <c r="H103" s="0" t="n">
        <v>4.0659</v>
      </c>
      <c r="I103" s="0" t="n">
        <v>0</v>
      </c>
      <c r="J103" s="6" t="n">
        <f aca="false">(H103+I103-H102)/H102</f>
        <v>0.0796335634625598</v>
      </c>
    </row>
    <row r="104" customFormat="false" ht="12.8" hidden="false" customHeight="false" outlineLevel="0" collapsed="false">
      <c r="A104" s="5" t="s">
        <v>110</v>
      </c>
      <c r="B104" s="0" t="n">
        <v>44.0233</v>
      </c>
      <c r="C104" s="0" t="n">
        <v>0</v>
      </c>
      <c r="D104" s="6" t="n">
        <f aca="false">(B104+C104-B103)/B103</f>
        <v>0.0557728603735938</v>
      </c>
      <c r="E104" s="0" t="n">
        <v>21.4551</v>
      </c>
      <c r="F104" s="0" t="n">
        <v>0.1</v>
      </c>
      <c r="G104" s="6" t="n">
        <f aca="false">(E104+F104-E103)/E103</f>
        <v>-0.000829740879803336</v>
      </c>
      <c r="H104" s="0" t="n">
        <v>4.2733</v>
      </c>
      <c r="I104" s="0" t="n">
        <v>0</v>
      </c>
      <c r="J104" s="6" t="n">
        <f aca="false">(H104+I104-H103)/H103</f>
        <v>0.0510096165670577</v>
      </c>
    </row>
    <row r="105" customFormat="false" ht="12.8" hidden="false" customHeight="false" outlineLevel="0" collapsed="false">
      <c r="A105" s="5" t="s">
        <v>111</v>
      </c>
      <c r="B105" s="0" t="n">
        <v>47.4138</v>
      </c>
      <c r="C105" s="0" t="n">
        <v>0</v>
      </c>
      <c r="D105" s="6" t="n">
        <f aca="false">(B105+C105-B104)/B104</f>
        <v>0.0770160346907207</v>
      </c>
      <c r="E105" s="0" t="n">
        <v>22.0003</v>
      </c>
      <c r="F105" s="0" t="n">
        <v>0</v>
      </c>
      <c r="G105" s="6" t="n">
        <f aca="false">(E105+F105-E104)/E104</f>
        <v>0.0254112075916681</v>
      </c>
      <c r="H105" s="0" t="n">
        <v>4.7358</v>
      </c>
      <c r="I105" s="0" t="n">
        <v>0</v>
      </c>
      <c r="J105" s="6" t="n">
        <f aca="false">(H105+I105-H104)/H104</f>
        <v>0.108230173402289</v>
      </c>
    </row>
    <row r="106" customFormat="false" ht="12.8" hidden="false" customHeight="false" outlineLevel="0" collapsed="false">
      <c r="A106" s="5" t="s">
        <v>112</v>
      </c>
      <c r="B106" s="0" t="n">
        <v>47.0934</v>
      </c>
      <c r="C106" s="0" t="n">
        <v>0.35</v>
      </c>
      <c r="D106" s="6" t="n">
        <f aca="false">(B106+C106-B105)/B105</f>
        <v>0.000624290818285015</v>
      </c>
      <c r="E106" s="0" t="n">
        <v>27.4892</v>
      </c>
      <c r="F106" s="0" t="n">
        <v>0</v>
      </c>
      <c r="G106" s="6" t="n">
        <f aca="false">(E106+F106-E105)/E105</f>
        <v>0.249492052381104</v>
      </c>
      <c r="H106" s="0" t="n">
        <v>5.8615</v>
      </c>
      <c r="I106" s="0" t="n">
        <v>0</v>
      </c>
      <c r="J106" s="6" t="n">
        <f aca="false">(H106+I106-H105)/H105</f>
        <v>0.237700071793572</v>
      </c>
    </row>
    <row r="107" customFormat="false" ht="12.8" hidden="false" customHeight="false" outlineLevel="0" collapsed="false">
      <c r="A107" s="5" t="s">
        <v>113</v>
      </c>
      <c r="B107" s="0" t="n">
        <v>50.1282</v>
      </c>
      <c r="C107" s="0" t="n">
        <v>0</v>
      </c>
      <c r="D107" s="6" t="n">
        <f aca="false">(B107+C107-B106)/B106</f>
        <v>0.0644421511294576</v>
      </c>
      <c r="E107" s="0" t="n">
        <v>25.1721</v>
      </c>
      <c r="F107" s="0" t="n">
        <v>0.11</v>
      </c>
      <c r="G107" s="6" t="n">
        <f aca="false">(E107+F107-E106)/E106</f>
        <v>-0.0802897137785021</v>
      </c>
      <c r="H107" s="0" t="n">
        <v>5.623</v>
      </c>
      <c r="I107" s="0" t="n">
        <v>0</v>
      </c>
      <c r="J107" s="6" t="n">
        <f aca="false">(H107+I107-H106)/H106</f>
        <v>-0.0406892433677387</v>
      </c>
    </row>
    <row r="108" customFormat="false" ht="12.8" hidden="false" customHeight="false" outlineLevel="0" collapsed="false">
      <c r="A108" s="5" t="s">
        <v>114</v>
      </c>
      <c r="B108" s="0" t="n">
        <v>49.7353</v>
      </c>
      <c r="C108" s="0" t="n">
        <v>0</v>
      </c>
      <c r="D108" s="6" t="n">
        <f aca="false">(B108+C108-B107)/B107</f>
        <v>-0.00783790361513075</v>
      </c>
      <c r="E108" s="0" t="n">
        <v>26.6704</v>
      </c>
      <c r="F108" s="0" t="n">
        <v>0</v>
      </c>
      <c r="G108" s="6" t="n">
        <f aca="false">(E108+F108-E107)/E107</f>
        <v>0.0595222488389924</v>
      </c>
      <c r="H108" s="0" t="n">
        <v>6.1124</v>
      </c>
      <c r="I108" s="0" t="n">
        <v>0</v>
      </c>
      <c r="J108" s="6" t="n">
        <f aca="false">(H108+I108-H107)/H107</f>
        <v>0.0870353903610172</v>
      </c>
    </row>
    <row r="109" customFormat="false" ht="12.8" hidden="false" customHeight="false" outlineLevel="0" collapsed="false">
      <c r="A109" s="5" t="s">
        <v>115</v>
      </c>
      <c r="B109" s="0" t="n">
        <v>44.5414</v>
      </c>
      <c r="C109" s="0" t="n">
        <v>0.35</v>
      </c>
      <c r="D109" s="6" t="n">
        <f aca="false">(B109+C109-B108)/B108</f>
        <v>-0.0973936017275456</v>
      </c>
      <c r="E109" s="0" t="n">
        <v>24.4229</v>
      </c>
      <c r="F109" s="0" t="n">
        <v>0</v>
      </c>
      <c r="G109" s="6" t="n">
        <f aca="false">(E109+F109-E108)/E108</f>
        <v>-0.0842694522766814</v>
      </c>
      <c r="H109" s="0" t="n">
        <v>4.177</v>
      </c>
      <c r="I109" s="0" t="n">
        <v>0</v>
      </c>
      <c r="J109" s="6" t="n">
        <f aca="false">(H109+I109-H108)/H108</f>
        <v>-0.31663503697402</v>
      </c>
    </row>
    <row r="110" customFormat="false" ht="12.8" hidden="false" customHeight="false" outlineLevel="0" collapsed="false">
      <c r="A110" s="5" t="s">
        <v>116</v>
      </c>
      <c r="B110" s="0" t="n">
        <v>45.0588</v>
      </c>
      <c r="C110" s="0" t="n">
        <v>0</v>
      </c>
      <c r="D110" s="6" t="n">
        <f aca="false">(B110+C110-B109)/B109</f>
        <v>0.0116161593483814</v>
      </c>
      <c r="E110" s="0" t="n">
        <v>20.4569</v>
      </c>
      <c r="F110" s="0" t="n">
        <v>0.11</v>
      </c>
      <c r="G110" s="6" t="n">
        <f aca="false">(E110+F110-E109)/E109</f>
        <v>-0.15788460829795</v>
      </c>
      <c r="H110" s="0" t="n">
        <v>3.8579</v>
      </c>
      <c r="I110" s="0" t="n">
        <v>0</v>
      </c>
      <c r="J110" s="6" t="n">
        <f aca="false">(H110+I110-H109)/H109</f>
        <v>-0.0763945415369882</v>
      </c>
    </row>
    <row r="111" customFormat="false" ht="12.8" hidden="false" customHeight="false" outlineLevel="0" collapsed="false">
      <c r="A111" s="5" t="s">
        <v>117</v>
      </c>
      <c r="B111" s="0" t="n">
        <v>47.7073</v>
      </c>
      <c r="C111" s="0" t="n">
        <v>0</v>
      </c>
      <c r="D111" s="6" t="n">
        <f aca="false">(B111+C111-B110)/B110</f>
        <v>0.0587787513204969</v>
      </c>
      <c r="E111" s="0" t="n">
        <v>21.3444</v>
      </c>
      <c r="F111" s="0" t="n">
        <v>0</v>
      </c>
      <c r="G111" s="6" t="n">
        <f aca="false">(E111+F111-E110)/E110</f>
        <v>0.0433838949205402</v>
      </c>
      <c r="H111" s="0" t="n">
        <v>4.4282</v>
      </c>
      <c r="I111" s="0" t="n">
        <v>0</v>
      </c>
      <c r="J111" s="6" t="n">
        <f aca="false">(H111+I111-H110)/H110</f>
        <v>0.1478265377537</v>
      </c>
    </row>
    <row r="112" customFormat="false" ht="12.8" hidden="false" customHeight="false" outlineLevel="0" collapsed="false">
      <c r="A112" s="5" t="s">
        <v>118</v>
      </c>
      <c r="B112" s="0" t="n">
        <v>45.9148</v>
      </c>
      <c r="C112" s="0" t="n">
        <v>0.4</v>
      </c>
      <c r="D112" s="6" t="n">
        <f aca="false">(B112+C112-B111)/B111</f>
        <v>-0.029188405128775</v>
      </c>
      <c r="E112" s="0" t="n">
        <v>21.4497</v>
      </c>
      <c r="F112" s="0" t="n">
        <v>0</v>
      </c>
      <c r="G112" s="6" t="n">
        <f aca="false">(E112+F112-E111)/E111</f>
        <v>0.00493337831000167</v>
      </c>
      <c r="H112" s="0" t="n">
        <v>5.3678</v>
      </c>
      <c r="I112" s="0" t="n">
        <v>0</v>
      </c>
      <c r="J112" s="6" t="n">
        <f aca="false">(H112+I112-H111)/H111</f>
        <v>0.212185538141909</v>
      </c>
    </row>
    <row r="113" customFormat="false" ht="12.8" hidden="false" customHeight="false" outlineLevel="0" collapsed="false">
      <c r="A113" s="5" t="s">
        <v>119</v>
      </c>
      <c r="B113" s="0" t="n">
        <v>45.23</v>
      </c>
      <c r="C113" s="0" t="n">
        <v>0</v>
      </c>
      <c r="D113" s="6" t="n">
        <f aca="false">(B113+C113-B112)/B112</f>
        <v>-0.0149145809194422</v>
      </c>
      <c r="E113" s="0" t="n">
        <v>21.378</v>
      </c>
      <c r="F113" s="0" t="n">
        <v>0.11</v>
      </c>
      <c r="G113" s="6" t="n">
        <f aca="false">(E113+F113-E112)/E112</f>
        <v>0.00178557275859334</v>
      </c>
      <c r="H113" s="0" t="n">
        <v>5.8245</v>
      </c>
      <c r="I113" s="0" t="n">
        <v>0</v>
      </c>
      <c r="J113" s="6" t="n">
        <f aca="false">(H113+I113-H112)/H112</f>
        <v>0.0850814113789635</v>
      </c>
    </row>
    <row r="114" customFormat="false" ht="12.8" hidden="false" customHeight="false" outlineLevel="0" collapsed="false">
      <c r="A114" s="5" t="s">
        <v>120</v>
      </c>
      <c r="B114" s="0" t="n">
        <v>41.6417</v>
      </c>
      <c r="C114" s="0" t="n">
        <v>0</v>
      </c>
      <c r="D114" s="6" t="n">
        <f aca="false">(B114+C114-B113)/B113</f>
        <v>-0.079334512491709</v>
      </c>
      <c r="E114" s="0" t="n">
        <v>20.7665</v>
      </c>
      <c r="F114" s="0" t="n">
        <v>0</v>
      </c>
      <c r="G114" s="6" t="n">
        <f aca="false">(E114+F114-E113)/E113</f>
        <v>-0.0286041725137992</v>
      </c>
      <c r="H114" s="0" t="n">
        <v>5.1669</v>
      </c>
      <c r="I114" s="0" t="n">
        <v>0</v>
      </c>
      <c r="J114" s="6" t="n">
        <f aca="false">(H114+I114-H113)/H113</f>
        <v>-0.11290239505537</v>
      </c>
    </row>
    <row r="115" customFormat="false" ht="12.8" hidden="false" customHeight="false" outlineLevel="0" collapsed="false">
      <c r="A115" s="5" t="s">
        <v>121</v>
      </c>
      <c r="B115" s="0" t="n">
        <v>45.1204</v>
      </c>
      <c r="C115" s="0" t="n">
        <v>0.4</v>
      </c>
      <c r="D115" s="6" t="n">
        <f aca="false">(B115+C115-B114)/B114</f>
        <v>0.0931446122516611</v>
      </c>
      <c r="E115" s="0" t="n">
        <v>19.4153</v>
      </c>
      <c r="F115" s="0" t="n">
        <v>0</v>
      </c>
      <c r="G115" s="6" t="n">
        <f aca="false">(E115+F115-E114)/E114</f>
        <v>-0.0650663327956084</v>
      </c>
      <c r="H115" s="0" t="n">
        <v>4.9049</v>
      </c>
      <c r="I115" s="0" t="n">
        <v>0</v>
      </c>
      <c r="J115" s="6" t="n">
        <f aca="false">(H115+I115-H114)/H114</f>
        <v>-0.0507073874083107</v>
      </c>
    </row>
    <row r="116" customFormat="false" ht="12.8" hidden="false" customHeight="false" outlineLevel="0" collapsed="false">
      <c r="A116" s="5" t="s">
        <v>122</v>
      </c>
      <c r="B116" s="0" t="n">
        <v>48.0765</v>
      </c>
      <c r="C116" s="0" t="n">
        <v>0</v>
      </c>
      <c r="D116" s="6" t="n">
        <f aca="false">(B116+C116-B115)/B115</f>
        <v>0.0655158198952138</v>
      </c>
      <c r="E116" s="0" t="n">
        <v>20.6834</v>
      </c>
      <c r="F116" s="0" t="n">
        <v>0.11</v>
      </c>
      <c r="G116" s="6" t="n">
        <f aca="false">(E116+F116-E115)/E115</f>
        <v>0.0709801033205771</v>
      </c>
      <c r="H116" s="0" t="n">
        <v>5.2314</v>
      </c>
      <c r="I116" s="0" t="n">
        <v>0</v>
      </c>
      <c r="J116" s="6" t="n">
        <f aca="false">(H116+I116-H115)/H115</f>
        <v>0.0665660869742503</v>
      </c>
    </row>
    <row r="117" customFormat="false" ht="12.8" hidden="false" customHeight="false" outlineLevel="0" collapsed="false">
      <c r="A117" s="5" t="s">
        <v>123</v>
      </c>
      <c r="B117" s="0" t="n">
        <v>48.0214</v>
      </c>
      <c r="C117" s="0" t="n">
        <v>0</v>
      </c>
      <c r="D117" s="6" t="n">
        <f aca="false">(B117+C117-B116)/B116</f>
        <v>-0.00114609008559282</v>
      </c>
      <c r="E117" s="0" t="n">
        <v>20.2287</v>
      </c>
      <c r="F117" s="0" t="n">
        <v>0</v>
      </c>
      <c r="G117" s="6" t="n">
        <f aca="false">(E117+F117-E116)/E116</f>
        <v>-0.0219838131061624</v>
      </c>
      <c r="H117" s="0" t="n">
        <v>3.5074</v>
      </c>
      <c r="I117" s="0" t="n">
        <v>0</v>
      </c>
      <c r="J117" s="6" t="n">
        <f aca="false">(H117+I117-H116)/H116</f>
        <v>-0.329548495622587</v>
      </c>
    </row>
    <row r="118" customFormat="false" ht="12.8" hidden="false" customHeight="false" outlineLevel="0" collapsed="false">
      <c r="A118" s="5" t="s">
        <v>124</v>
      </c>
      <c r="B118" s="0" t="n">
        <v>44.7754</v>
      </c>
      <c r="C118" s="0" t="n">
        <v>0.4</v>
      </c>
      <c r="D118" s="6" t="n">
        <f aca="false">(B118+C118-B117)/B117</f>
        <v>-0.0592652442452741</v>
      </c>
      <c r="E118" s="0" t="n">
        <v>16.9242</v>
      </c>
      <c r="F118" s="0" t="n">
        <v>0</v>
      </c>
      <c r="G118" s="6" t="n">
        <f aca="false">(E118+F118-E117)/E117</f>
        <v>-0.163357012561361</v>
      </c>
      <c r="H118" s="0" t="n">
        <v>3.32</v>
      </c>
      <c r="I118" s="0" t="n">
        <v>0</v>
      </c>
      <c r="J118" s="6" t="n">
        <f aca="false">(H118+I118-H117)/H117</f>
        <v>-0.0534298910874152</v>
      </c>
    </row>
    <row r="119" customFormat="false" ht="12.8" hidden="false" customHeight="false" outlineLevel="0" collapsed="false">
      <c r="A119" s="5" t="s">
        <v>125</v>
      </c>
      <c r="B119" s="0" t="n">
        <v>44.6436</v>
      </c>
      <c r="C119" s="0" t="n">
        <v>0</v>
      </c>
      <c r="D119" s="6" t="n">
        <f aca="false">(B119+C119-B118)/B118</f>
        <v>-0.00294358062686204</v>
      </c>
      <c r="E119" s="0" t="n">
        <v>15.4265</v>
      </c>
      <c r="F119" s="0" t="n">
        <v>0.13</v>
      </c>
      <c r="G119" s="6" t="n">
        <f aca="false">(E119+F119-E118)/E118</f>
        <v>-0.0808132733009535</v>
      </c>
      <c r="H119" s="0" t="n">
        <v>2.8596</v>
      </c>
      <c r="I119" s="0" t="n">
        <v>0</v>
      </c>
      <c r="J119" s="6" t="n">
        <f aca="false">(H119+I119-H118)/H118</f>
        <v>-0.138674698795181</v>
      </c>
    </row>
    <row r="120" customFormat="false" ht="12.8" hidden="false" customHeight="false" outlineLevel="0" collapsed="false">
      <c r="A120" s="5" t="s">
        <v>126</v>
      </c>
      <c r="B120" s="0" t="n">
        <v>42.8884</v>
      </c>
      <c r="C120" s="0" t="n">
        <v>0</v>
      </c>
      <c r="D120" s="6" t="n">
        <f aca="false">(B120+C120-B119)/B119</f>
        <v>-0.039315825784659</v>
      </c>
      <c r="E120" s="0" t="n">
        <v>14.8314</v>
      </c>
      <c r="F120" s="0" t="n">
        <v>0</v>
      </c>
      <c r="G120" s="6" t="n">
        <f aca="false">(E120+F120-E119)/E119</f>
        <v>-0.0385764755453279</v>
      </c>
      <c r="H120" s="0" t="n">
        <v>2.6338</v>
      </c>
      <c r="I120" s="0" t="n">
        <v>0</v>
      </c>
      <c r="J120" s="6" t="n">
        <f aca="false">(H120+I120-H119)/H119</f>
        <v>-0.0789620926003637</v>
      </c>
    </row>
    <row r="121" customFormat="false" ht="12.8" hidden="false" customHeight="false" outlineLevel="0" collapsed="false">
      <c r="A121" s="5" t="s">
        <v>127</v>
      </c>
      <c r="B121" s="0" t="n">
        <v>38.0727</v>
      </c>
      <c r="C121" s="0" t="n">
        <v>0.4</v>
      </c>
      <c r="D121" s="6" t="n">
        <f aca="false">(B121+C121-B120)/B120</f>
        <v>-0.10295790936477</v>
      </c>
      <c r="E121" s="0" t="n">
        <v>13.0462</v>
      </c>
      <c r="F121" s="0" t="n">
        <v>0</v>
      </c>
      <c r="G121" s="6" t="n">
        <f aca="false">(E121+F121-E120)/E120</f>
        <v>-0.120366249983144</v>
      </c>
      <c r="H121" s="0" t="n">
        <v>2.7813</v>
      </c>
      <c r="I121" s="0" t="n">
        <v>0</v>
      </c>
      <c r="J121" s="6" t="n">
        <f aca="false">(H121+I121-H120)/H120</f>
        <v>0.0560027336927633</v>
      </c>
    </row>
    <row r="122" customFormat="false" ht="12.8" hidden="false" customHeight="false" outlineLevel="0" collapsed="false">
      <c r="A122" s="5" t="s">
        <v>128</v>
      </c>
      <c r="B122" s="0" t="n">
        <v>33.6507</v>
      </c>
      <c r="C122" s="0" t="n">
        <v>0</v>
      </c>
      <c r="D122" s="6" t="n">
        <f aca="false">(B122+C122-B121)/B121</f>
        <v>-0.116146215004452</v>
      </c>
      <c r="E122" s="0" t="n">
        <v>12.4099</v>
      </c>
      <c r="F122" s="0" t="n">
        <v>0.13</v>
      </c>
      <c r="G122" s="6" t="n">
        <f aca="false">(E122+F122-E121)/E121</f>
        <v>-0.038808235348224</v>
      </c>
      <c r="H122" s="0" t="n">
        <v>2.756</v>
      </c>
      <c r="I122" s="0" t="n">
        <v>0</v>
      </c>
      <c r="J122" s="6" t="n">
        <f aca="false">(H122+I122-H121)/H121</f>
        <v>-0.00909646568151572</v>
      </c>
    </row>
    <row r="123" customFormat="false" ht="12.8" hidden="false" customHeight="false" outlineLevel="0" collapsed="false">
      <c r="A123" s="5" t="s">
        <v>129</v>
      </c>
      <c r="B123" s="0" t="n">
        <v>32.8962</v>
      </c>
      <c r="C123" s="0" t="n">
        <v>0</v>
      </c>
      <c r="D123" s="6" t="n">
        <f aca="false">(B123+C123-B122)/B122</f>
        <v>-0.0224215246636771</v>
      </c>
      <c r="E123" s="0" t="n">
        <v>14.1158</v>
      </c>
      <c r="F123" s="0" t="n">
        <v>0</v>
      </c>
      <c r="G123" s="6" t="n">
        <f aca="false">(E123+F123-E122)/E122</f>
        <v>0.137462832093732</v>
      </c>
      <c r="H123" s="0" t="n">
        <v>3.2438</v>
      </c>
      <c r="I123" s="0" t="n">
        <v>0</v>
      </c>
      <c r="J123" s="6" t="n">
        <f aca="false">(H123+I123-H122)/H122</f>
        <v>0.17699564586357</v>
      </c>
    </row>
    <row r="124" customFormat="false" ht="12.8" hidden="false" customHeight="false" outlineLevel="0" collapsed="false">
      <c r="A124" s="5" t="s">
        <v>130</v>
      </c>
      <c r="B124" s="0" t="n">
        <v>34.8443</v>
      </c>
      <c r="C124" s="0" t="n">
        <v>0.44</v>
      </c>
      <c r="D124" s="6" t="n">
        <f aca="false">(B124+C124-B123)/B123</f>
        <v>0.0725950109739117</v>
      </c>
      <c r="E124" s="0" t="n">
        <v>15.5681</v>
      </c>
      <c r="F124" s="0" t="n">
        <v>0</v>
      </c>
      <c r="G124" s="6" t="n">
        <f aca="false">(E124+F124-E123)/E123</f>
        <v>0.102884710749656</v>
      </c>
      <c r="H124" s="0" t="n">
        <v>3.8829</v>
      </c>
      <c r="I124" s="0" t="n">
        <v>0</v>
      </c>
      <c r="J124" s="6" t="n">
        <f aca="false">(H124+I124-H123)/H123</f>
        <v>0.197022011221407</v>
      </c>
    </row>
    <row r="125" customFormat="false" ht="12.8" hidden="false" customHeight="false" outlineLevel="0" collapsed="false">
      <c r="A125" s="5" t="s">
        <v>131</v>
      </c>
      <c r="B125" s="0" t="n">
        <v>36.6063</v>
      </c>
      <c r="C125" s="0" t="n">
        <v>0</v>
      </c>
      <c r="D125" s="6" t="n">
        <f aca="false">(B125+C125-B124)/B124</f>
        <v>0.0505678116650356</v>
      </c>
      <c r="E125" s="0" t="n">
        <v>16.155</v>
      </c>
      <c r="F125" s="0" t="n">
        <v>0.13</v>
      </c>
      <c r="G125" s="6" t="n">
        <f aca="false">(E125+F125-E124)/E124</f>
        <v>0.046049293105774</v>
      </c>
      <c r="H125" s="0" t="n">
        <v>4.1909</v>
      </c>
      <c r="I125" s="0" t="n">
        <v>0</v>
      </c>
      <c r="J125" s="6" t="n">
        <f aca="false">(H125+I125-H124)/H124</f>
        <v>0.0793221561204254</v>
      </c>
    </row>
    <row r="126" customFormat="false" ht="12.8" hidden="false" customHeight="false" outlineLevel="0" collapsed="false">
      <c r="A126" s="5" t="s">
        <v>132</v>
      </c>
      <c r="B126" s="0" t="n">
        <v>36.0142</v>
      </c>
      <c r="C126" s="0" t="n">
        <v>0</v>
      </c>
      <c r="D126" s="6" t="n">
        <f aca="false">(B126+C126-B125)/B125</f>
        <v>-0.0161748114395608</v>
      </c>
      <c r="E126" s="0" t="n">
        <v>18.3822</v>
      </c>
      <c r="F126" s="0" t="n">
        <v>0</v>
      </c>
      <c r="G126" s="6" t="n">
        <f aca="false">(E126+F126-E125)/E125</f>
        <v>0.13786443825441</v>
      </c>
      <c r="H126" s="0" t="n">
        <v>4.3952</v>
      </c>
      <c r="I126" s="0" t="n">
        <v>0</v>
      </c>
      <c r="J126" s="6" t="n">
        <f aca="false">(H126+I126-H125)/H125</f>
        <v>0.0487484788470257</v>
      </c>
    </row>
    <row r="127" customFormat="false" ht="12.8" hidden="false" customHeight="false" outlineLevel="0" collapsed="false">
      <c r="A127" s="5" t="s">
        <v>133</v>
      </c>
      <c r="B127" s="0" t="n">
        <v>39.436</v>
      </c>
      <c r="C127" s="0" t="n">
        <v>0.44</v>
      </c>
      <c r="D127" s="6" t="n">
        <f aca="false">(B127+C127-B126)/B126</f>
        <v>0.107229925973644</v>
      </c>
      <c r="E127" s="0" t="n">
        <v>18.1888</v>
      </c>
      <c r="F127" s="0" t="n">
        <v>0</v>
      </c>
      <c r="G127" s="6" t="n">
        <f aca="false">(E127+F127-E126)/E126</f>
        <v>-0.0105210475351155</v>
      </c>
      <c r="H127" s="0" t="n">
        <v>5.0419</v>
      </c>
      <c r="I127" s="0" t="n">
        <v>0</v>
      </c>
      <c r="J127" s="6" t="n">
        <f aca="false">(H127+I127-H126)/H126</f>
        <v>0.147137786676374</v>
      </c>
    </row>
    <row r="128" customFormat="false" ht="12.8" hidden="false" customHeight="false" outlineLevel="0" collapsed="false">
      <c r="A128" s="5" t="s">
        <v>134</v>
      </c>
      <c r="B128" s="0" t="n">
        <v>38.4414</v>
      </c>
      <c r="C128" s="0" t="n">
        <v>0</v>
      </c>
      <c r="D128" s="6" t="n">
        <f aca="false">(B128+C128-B127)/B127</f>
        <v>-0.0252206106095953</v>
      </c>
      <c r="E128" s="0" t="n">
        <v>19.1678</v>
      </c>
      <c r="F128" s="0" t="n">
        <v>0.13</v>
      </c>
      <c r="G128" s="6" t="n">
        <f aca="false">(E128+F128-E127)/E127</f>
        <v>0.0609715869106262</v>
      </c>
      <c r="H128" s="0" t="n">
        <v>5.1907</v>
      </c>
      <c r="I128" s="0" t="n">
        <v>0</v>
      </c>
      <c r="J128" s="6" t="n">
        <f aca="false">(H128+I128-H127)/H127</f>
        <v>0.0295126837105059</v>
      </c>
    </row>
    <row r="129" customFormat="false" ht="12.8" hidden="false" customHeight="false" outlineLevel="0" collapsed="false">
      <c r="A129" s="5" t="s">
        <v>135</v>
      </c>
      <c r="B129" s="0" t="n">
        <v>41.1482</v>
      </c>
      <c r="C129" s="0" t="n">
        <v>0</v>
      </c>
      <c r="D129" s="6" t="n">
        <f aca="false">(B129+C129-B128)/B128</f>
        <v>0.0704136685968774</v>
      </c>
      <c r="E129" s="0" t="n">
        <v>19.9998</v>
      </c>
      <c r="F129" s="0" t="n">
        <v>0</v>
      </c>
      <c r="G129" s="6" t="n">
        <f aca="false">(E129+F129-E128)/E128</f>
        <v>0.0434061290288922</v>
      </c>
      <c r="H129" s="0" t="n">
        <v>5.7196</v>
      </c>
      <c r="I129" s="0" t="n">
        <v>0</v>
      </c>
      <c r="J129" s="6" t="n">
        <f aca="false">(H129+I129-H128)/H128</f>
        <v>0.10189377155297</v>
      </c>
    </row>
    <row r="130" customFormat="false" ht="12.8" hidden="false" customHeight="false" outlineLevel="0" collapsed="false">
      <c r="A130" s="5" t="s">
        <v>136</v>
      </c>
      <c r="B130" s="0" t="n">
        <v>41.5204</v>
      </c>
      <c r="C130" s="0" t="n">
        <v>0.44</v>
      </c>
      <c r="D130" s="6" t="n">
        <f aca="false">(B130+C130-B129)/B129</f>
        <v>0.0197384089705017</v>
      </c>
      <c r="E130" s="0" t="n">
        <v>21.5628</v>
      </c>
      <c r="F130" s="0" t="n">
        <v>0</v>
      </c>
      <c r="G130" s="6" t="n">
        <f aca="false">(E130+F130-E129)/E129</f>
        <v>0.078150781507815</v>
      </c>
      <c r="H130" s="0" t="n">
        <v>5.8168</v>
      </c>
      <c r="I130" s="0" t="n">
        <v>0</v>
      </c>
      <c r="J130" s="6" t="n">
        <f aca="false">(H130+I130-H129)/H129</f>
        <v>0.0169941953982796</v>
      </c>
    </row>
    <row r="131" customFormat="false" ht="12.8" hidden="false" customHeight="false" outlineLevel="0" collapsed="false">
      <c r="A131" s="5" t="s">
        <v>137</v>
      </c>
      <c r="B131" s="0" t="n">
        <v>44.6344</v>
      </c>
      <c r="C131" s="0" t="n">
        <v>0</v>
      </c>
      <c r="D131" s="6" t="n">
        <f aca="false">(B131+C131-B130)/B130</f>
        <v>0.0749992774636082</v>
      </c>
      <c r="E131" s="0" t="n">
        <v>22.9683</v>
      </c>
      <c r="F131" s="0" t="n">
        <v>0.13</v>
      </c>
      <c r="G131" s="6" t="n">
        <f aca="false">(E131+F131-E130)/E130</f>
        <v>0.0712106034466766</v>
      </c>
      <c r="H131" s="0" t="n">
        <v>6.1689</v>
      </c>
      <c r="I131" s="0" t="n">
        <v>0</v>
      </c>
      <c r="J131" s="6" t="n">
        <f aca="false">(H131+I131-H130)/H130</f>
        <v>0.0605315637463898</v>
      </c>
    </row>
    <row r="132" customFormat="false" ht="12.8" hidden="false" customHeight="false" outlineLevel="0" collapsed="false">
      <c r="A132" s="5" t="s">
        <v>138</v>
      </c>
      <c r="B132" s="0" t="n">
        <v>43.4031</v>
      </c>
      <c r="C132" s="0" t="n">
        <v>0</v>
      </c>
      <c r="D132" s="6" t="n">
        <f aca="false">(B132+C132-B131)/B131</f>
        <v>-0.0275863459573781</v>
      </c>
      <c r="E132" s="0" t="n">
        <v>23.8039</v>
      </c>
      <c r="F132" s="0" t="n">
        <v>0</v>
      </c>
      <c r="G132" s="6" t="n">
        <f aca="false">(E132+F132-E131)/E131</f>
        <v>0.0363805767078974</v>
      </c>
      <c r="H132" s="0" t="n">
        <v>6.5028</v>
      </c>
      <c r="I132" s="0" t="n">
        <v>0</v>
      </c>
      <c r="J132" s="6" t="n">
        <f aca="false">(H132+I132-H131)/H131</f>
        <v>0.0541263434323785</v>
      </c>
    </row>
    <row r="133" customFormat="false" ht="12.8" hidden="false" customHeight="false" outlineLevel="0" collapsed="false">
      <c r="A133" s="5" t="s">
        <v>139</v>
      </c>
      <c r="B133" s="0" t="n">
        <v>44.3824</v>
      </c>
      <c r="C133" s="0" t="n">
        <v>0.44</v>
      </c>
      <c r="D133" s="6" t="n">
        <f aca="false">(B133+C133-B132)/B132</f>
        <v>0.0327004292320132</v>
      </c>
      <c r="E133" s="0" t="n">
        <v>22.0077</v>
      </c>
      <c r="F133" s="0" t="n">
        <v>0</v>
      </c>
      <c r="G133" s="6" t="n">
        <f aca="false">(E133+F133-E132)/E132</f>
        <v>-0.0754582232323274</v>
      </c>
      <c r="H133" s="0" t="n">
        <v>5.9267</v>
      </c>
      <c r="I133" s="0" t="n">
        <v>0</v>
      </c>
      <c r="J133" s="6" t="n">
        <f aca="false">(H133+I133-H132)/H132</f>
        <v>-0.0885926062619179</v>
      </c>
    </row>
    <row r="134" customFormat="false" ht="12.8" hidden="false" customHeight="false" outlineLevel="0" collapsed="false">
      <c r="A134" s="5" t="s">
        <v>140</v>
      </c>
      <c r="B134" s="0" t="n">
        <v>45.6299</v>
      </c>
      <c r="C134" s="0" t="n">
        <v>0</v>
      </c>
      <c r="D134" s="6" t="n">
        <f aca="false">(B134+C134-B133)/B133</f>
        <v>0.0281079887522983</v>
      </c>
      <c r="E134" s="0" t="n">
        <v>22.493</v>
      </c>
      <c r="F134" s="0" t="n">
        <v>0.13</v>
      </c>
      <c r="G134" s="6" t="n">
        <f aca="false">(E134+F134-E133)/E133</f>
        <v>0.0279583963794489</v>
      </c>
      <c r="H134" s="0" t="n">
        <v>6.3142</v>
      </c>
      <c r="I134" s="0" t="n">
        <v>0</v>
      </c>
      <c r="J134" s="6" t="n">
        <f aca="false">(H134+I134-H133)/H133</f>
        <v>0.0653820844652166</v>
      </c>
    </row>
    <row r="135" customFormat="false" ht="12.8" hidden="false" customHeight="false" outlineLevel="0" collapsed="false">
      <c r="A135" s="5" t="s">
        <v>141</v>
      </c>
      <c r="B135" s="0" t="n">
        <v>45.6227</v>
      </c>
      <c r="C135" s="0" t="n">
        <v>0</v>
      </c>
      <c r="D135" s="6" t="n">
        <f aca="false">(B135+C135-B134)/B134</f>
        <v>-0.000157791272827629</v>
      </c>
      <c r="E135" s="0" t="n">
        <v>22.9775</v>
      </c>
      <c r="F135" s="0" t="n">
        <v>0</v>
      </c>
      <c r="G135" s="6" t="n">
        <f aca="false">(E135+F135-E134)/E134</f>
        <v>0.0215400346774552</v>
      </c>
      <c r="H135" s="0" t="n">
        <v>7.2517</v>
      </c>
      <c r="I135" s="0" t="n">
        <v>0</v>
      </c>
      <c r="J135" s="6" t="n">
        <f aca="false">(H135+I135-H134)/H134</f>
        <v>0.148474866174654</v>
      </c>
    </row>
    <row r="136" customFormat="false" ht="12.8" hidden="false" customHeight="false" outlineLevel="0" collapsed="false">
      <c r="A136" s="5" t="s">
        <v>142</v>
      </c>
      <c r="B136" s="0" t="n">
        <v>45.1641</v>
      </c>
      <c r="C136" s="0" t="n">
        <v>0.4818</v>
      </c>
      <c r="D136" s="6" t="n">
        <f aca="false">(B136+C136-B135)/B135</f>
        <v>0.00050851878560444</v>
      </c>
      <c r="E136" s="0" t="n">
        <v>23.9562</v>
      </c>
      <c r="F136" s="0" t="n">
        <v>0</v>
      </c>
      <c r="G136" s="6" t="n">
        <f aca="false">(E136+F136-E135)/E135</f>
        <v>0.0425938418017626</v>
      </c>
      <c r="H136" s="0" t="n">
        <v>8.0568</v>
      </c>
      <c r="I136" s="0" t="n">
        <v>0</v>
      </c>
      <c r="J136" s="6" t="n">
        <f aca="false">(H136+I136-H135)/H135</f>
        <v>0.111022243060248</v>
      </c>
    </row>
    <row r="137" customFormat="false" ht="12.8" hidden="false" customHeight="false" outlineLevel="0" collapsed="false">
      <c r="A137" s="5" t="s">
        <v>143</v>
      </c>
      <c r="B137" s="0" t="n">
        <v>44.3867</v>
      </c>
      <c r="C137" s="0" t="n">
        <v>0</v>
      </c>
      <c r="D137" s="6" t="n">
        <f aca="false">(B137+C137-B136)/B136</f>
        <v>-0.0172127862616547</v>
      </c>
      <c r="E137" s="0" t="n">
        <v>20.3334</v>
      </c>
      <c r="F137" s="0" t="n">
        <v>0.13</v>
      </c>
      <c r="G137" s="6" t="n">
        <f aca="false">(E137+F137-E136)/E136</f>
        <v>-0.145799417269851</v>
      </c>
      <c r="H137" s="0" t="n">
        <v>7.9269</v>
      </c>
      <c r="I137" s="0" t="n">
        <v>0</v>
      </c>
      <c r="J137" s="6" t="n">
        <f aca="false">(H137+I137-H136)/H136</f>
        <v>-0.0161230265117666</v>
      </c>
    </row>
    <row r="138" customFormat="false" ht="12.8" hidden="false" customHeight="false" outlineLevel="0" collapsed="false">
      <c r="A138" s="5" t="s">
        <v>144</v>
      </c>
      <c r="B138" s="0" t="n">
        <v>43.5802</v>
      </c>
      <c r="C138" s="0" t="n">
        <v>0</v>
      </c>
      <c r="D138" s="6" t="n">
        <f aca="false">(B138+C138-B137)/B137</f>
        <v>-0.0181698571869501</v>
      </c>
      <c r="E138" s="0" t="n">
        <v>18.1345</v>
      </c>
      <c r="F138" s="0" t="n">
        <v>0</v>
      </c>
      <c r="G138" s="6" t="n">
        <f aca="false">(E138+F138-E137)/E137</f>
        <v>-0.108142268386005</v>
      </c>
      <c r="H138" s="0" t="n">
        <v>7.7618</v>
      </c>
      <c r="I138" s="0" t="n">
        <v>0</v>
      </c>
      <c r="J138" s="6" t="n">
        <f aca="false">(H138+I138-H137)/H137</f>
        <v>-0.0208278141518122</v>
      </c>
    </row>
    <row r="139" customFormat="false" ht="12.8" hidden="false" customHeight="false" outlineLevel="0" collapsed="false">
      <c r="A139" s="5" t="s">
        <v>145</v>
      </c>
      <c r="B139" s="0" t="n">
        <v>44.7879</v>
      </c>
      <c r="C139" s="0" t="n">
        <v>0.4818</v>
      </c>
      <c r="D139" s="6" t="n">
        <f aca="false">(B139+C139-B138)/B138</f>
        <v>0.0387676054722099</v>
      </c>
      <c r="E139" s="0" t="n">
        <v>20.3413</v>
      </c>
      <c r="F139" s="0" t="n">
        <v>0</v>
      </c>
      <c r="G139" s="6" t="n">
        <f aca="false">(E139+F139-E138)/E138</f>
        <v>0.121690700046872</v>
      </c>
      <c r="H139" s="0" t="n">
        <v>7.9383</v>
      </c>
      <c r="I139" s="0" t="n">
        <v>0</v>
      </c>
      <c r="J139" s="6" t="n">
        <f aca="false">(H139+I139-H138)/H138</f>
        <v>0.0227395707181324</v>
      </c>
    </row>
    <row r="140" customFormat="false" ht="12.8" hidden="false" customHeight="false" outlineLevel="0" collapsed="false">
      <c r="A140" s="5" t="s">
        <v>146</v>
      </c>
      <c r="B140" s="0" t="n">
        <v>43.6968</v>
      </c>
      <c r="C140" s="0" t="n">
        <v>0</v>
      </c>
      <c r="D140" s="6" t="n">
        <f aca="false">(B140+C140-B139)/B139</f>
        <v>-0.0243614904918515</v>
      </c>
      <c r="E140" s="0" t="n">
        <v>18.5904</v>
      </c>
      <c r="F140" s="0" t="n">
        <v>0.13</v>
      </c>
      <c r="G140" s="6" t="n">
        <f aca="false">(E140+F140-E139)/E139</f>
        <v>-0.0796851725307627</v>
      </c>
      <c r="H140" s="0" t="n">
        <v>7.5017</v>
      </c>
      <c r="I140" s="0" t="n">
        <v>0</v>
      </c>
      <c r="J140" s="6" t="n">
        <f aca="false">(H140+I140-H139)/H139</f>
        <v>-0.0549991811848885</v>
      </c>
    </row>
    <row r="141" customFormat="false" ht="12.8" hidden="false" customHeight="false" outlineLevel="0" collapsed="false">
      <c r="A141" s="5" t="s">
        <v>147</v>
      </c>
      <c r="B141" s="0" t="n">
        <v>43.9165</v>
      </c>
      <c r="C141" s="0" t="n">
        <v>0</v>
      </c>
      <c r="D141" s="6" t="n">
        <f aca="false">(B141+C141-B140)/B140</f>
        <v>0.00502782812471385</v>
      </c>
      <c r="E141" s="0" t="n">
        <v>19.4025</v>
      </c>
      <c r="F141" s="0" t="n">
        <v>0</v>
      </c>
      <c r="G141" s="6" t="n">
        <f aca="false">(E141+F141-E140)/E140</f>
        <v>0.0436838368190034</v>
      </c>
      <c r="H141" s="0" t="n">
        <v>8.7561</v>
      </c>
      <c r="I141" s="0" t="n">
        <v>0</v>
      </c>
      <c r="J141" s="6" t="n">
        <f aca="false">(H141+I141-H140)/H140</f>
        <v>0.167215431168935</v>
      </c>
    </row>
    <row r="142" customFormat="false" ht="12.8" hidden="false" customHeight="false" outlineLevel="0" collapsed="false">
      <c r="A142" s="5" t="s">
        <v>148</v>
      </c>
      <c r="B142" s="0" t="n">
        <v>46.9067</v>
      </c>
      <c r="C142" s="0" t="n">
        <v>0.4818</v>
      </c>
      <c r="D142" s="6" t="n">
        <f aca="false">(B142+C142-B141)/B141</f>
        <v>0.0790591235640363</v>
      </c>
      <c r="E142" s="0" t="n">
        <v>21.1257</v>
      </c>
      <c r="F142" s="0" t="n">
        <v>0</v>
      </c>
      <c r="G142" s="6" t="n">
        <f aca="false">(E142+F142-E141)/E141</f>
        <v>0.0888132972555082</v>
      </c>
      <c r="H142" s="0" t="n">
        <v>9.2877</v>
      </c>
      <c r="I142" s="0" t="n">
        <v>0</v>
      </c>
      <c r="J142" s="6" t="n">
        <f aca="false">(H142+I142-H141)/H141</f>
        <v>0.0607119608044676</v>
      </c>
    </row>
    <row r="143" customFormat="false" ht="12.8" hidden="false" customHeight="false" outlineLevel="0" collapsed="false">
      <c r="A143" s="5" t="s">
        <v>149</v>
      </c>
      <c r="B143" s="0" t="n">
        <v>45.062</v>
      </c>
      <c r="C143" s="0" t="n">
        <v>0</v>
      </c>
      <c r="D143" s="6" t="n">
        <f aca="false">(B143+C143-B142)/B142</f>
        <v>-0.0393270044577854</v>
      </c>
      <c r="E143" s="0" t="n">
        <v>20.1346</v>
      </c>
      <c r="F143" s="0" t="n">
        <v>0.16</v>
      </c>
      <c r="G143" s="6" t="n">
        <f aca="false">(E143+F143-E142)/E142</f>
        <v>-0.0393407082368868</v>
      </c>
      <c r="H143" s="0" t="n">
        <v>9.6016</v>
      </c>
      <c r="I143" s="0" t="n">
        <v>0</v>
      </c>
      <c r="J143" s="6" t="n">
        <f aca="false">(H143+I143-H142)/H142</f>
        <v>0.0337973879431937</v>
      </c>
    </row>
    <row r="144" customFormat="false" ht="12.8" hidden="false" customHeight="false" outlineLevel="0" collapsed="false">
      <c r="A144" s="5" t="s">
        <v>150</v>
      </c>
      <c r="B144" s="0" t="n">
        <v>47.4675</v>
      </c>
      <c r="C144" s="0" t="n">
        <v>0</v>
      </c>
      <c r="D144" s="6" t="n">
        <f aca="false">(B144+C144-B143)/B143</f>
        <v>0.0533820070125606</v>
      </c>
      <c r="E144" s="0" t="n">
        <v>22.2491</v>
      </c>
      <c r="F144" s="0" t="n">
        <v>0</v>
      </c>
      <c r="G144" s="6" t="n">
        <f aca="false">(E144+F144-E143)/E143</f>
        <v>0.105018227330069</v>
      </c>
      <c r="H144" s="0" t="n">
        <v>9.9537</v>
      </c>
      <c r="I144" s="0" t="n">
        <v>0</v>
      </c>
      <c r="J144" s="6" t="n">
        <f aca="false">(H144+I144-H143)/H143</f>
        <v>0.0366709715047492</v>
      </c>
    </row>
    <row r="145" customFormat="false" ht="12.8" hidden="false" customHeight="false" outlineLevel="0" collapsed="false">
      <c r="A145" s="5" t="s">
        <v>151</v>
      </c>
      <c r="B145" s="0" t="n">
        <v>46.9255</v>
      </c>
      <c r="C145" s="0" t="n">
        <v>0.4818</v>
      </c>
      <c r="D145" s="6" t="n">
        <f aca="false">(B145+C145-B144)/B144</f>
        <v>-0.00126823616158428</v>
      </c>
      <c r="E145" s="0" t="n">
        <v>22.1016</v>
      </c>
      <c r="F145" s="0" t="n">
        <v>0</v>
      </c>
      <c r="G145" s="6" t="n">
        <f aca="false">(E145+F145-E144)/E144</f>
        <v>-0.00662948164195394</v>
      </c>
      <c r="H145" s="0" t="n">
        <v>10.4708</v>
      </c>
      <c r="I145" s="0" t="n">
        <v>0</v>
      </c>
      <c r="J145" s="6" t="n">
        <f aca="false">(H145+I145-H144)/H144</f>
        <v>0.0519505309583372</v>
      </c>
    </row>
    <row r="146" customFormat="false" ht="12.8" hidden="false" customHeight="false" outlineLevel="0" collapsed="false">
      <c r="A146" s="5" t="s">
        <v>152</v>
      </c>
      <c r="B146" s="0" t="n">
        <v>46.866</v>
      </c>
      <c r="C146" s="0" t="n">
        <v>0</v>
      </c>
      <c r="D146" s="6" t="n">
        <f aca="false">(B146+C146-B145)/B145</f>
        <v>-0.00126796730988482</v>
      </c>
      <c r="E146" s="0" t="n">
        <v>21.3146</v>
      </c>
      <c r="F146" s="0" t="n">
        <v>0.16</v>
      </c>
      <c r="G146" s="6" t="n">
        <f aca="false">(E146+F146-E145)/E145</f>
        <v>-0.0283689868606799</v>
      </c>
      <c r="H146" s="0" t="n">
        <v>10.8995</v>
      </c>
      <c r="I146" s="0" t="n">
        <v>0</v>
      </c>
      <c r="J146" s="6" t="n">
        <f aca="false">(H146+I146-H145)/H145</f>
        <v>0.0409424303778125</v>
      </c>
    </row>
    <row r="147" customFormat="false" ht="12.8" hidden="false" customHeight="false" outlineLevel="0" collapsed="false">
      <c r="A147" s="5" t="s">
        <v>153</v>
      </c>
      <c r="B147" s="0" t="n">
        <v>45.7882</v>
      </c>
      <c r="C147" s="0" t="n">
        <v>0</v>
      </c>
      <c r="D147" s="6" t="n">
        <f aca="false">(B147+C147-B146)/B146</f>
        <v>-0.0229974821832458</v>
      </c>
      <c r="E147" s="0" t="n">
        <v>20.3603</v>
      </c>
      <c r="F147" s="0" t="n">
        <v>0</v>
      </c>
      <c r="G147" s="6" t="n">
        <f aca="false">(E147+F147-E146)/E146</f>
        <v>-0.0447721280249219</v>
      </c>
      <c r="H147" s="0" t="n">
        <v>10.7544</v>
      </c>
      <c r="I147" s="0" t="n">
        <v>0</v>
      </c>
      <c r="J147" s="6" t="n">
        <f aca="false">(H147+I147-H146)/H146</f>
        <v>-0.0133125372723519</v>
      </c>
    </row>
    <row r="148" customFormat="false" ht="12.8" hidden="false" customHeight="false" outlineLevel="0" collapsed="false">
      <c r="A148" s="5" t="s">
        <v>154</v>
      </c>
      <c r="B148" s="0" t="n">
        <v>48.6367</v>
      </c>
      <c r="C148" s="0" t="n">
        <v>0.525</v>
      </c>
      <c r="D148" s="6" t="n">
        <f aca="false">(B148+C148-B147)/B147</f>
        <v>0.0736761873146355</v>
      </c>
      <c r="E148" s="0" t="n">
        <v>20.7854</v>
      </c>
      <c r="F148" s="0" t="n">
        <v>0</v>
      </c>
      <c r="G148" s="6" t="n">
        <f aca="false">(E148+F148-E147)/E147</f>
        <v>0.0208788672072612</v>
      </c>
      <c r="H148" s="0" t="n">
        <v>10.8044</v>
      </c>
      <c r="I148" s="0" t="n">
        <v>0</v>
      </c>
      <c r="J148" s="6" t="n">
        <f aca="false">(H148+I148-H147)/H147</f>
        <v>0.00464925983783372</v>
      </c>
    </row>
    <row r="149" customFormat="false" ht="12.8" hidden="false" customHeight="false" outlineLevel="0" collapsed="false">
      <c r="A149" s="5" t="s">
        <v>155</v>
      </c>
      <c r="B149" s="0" t="n">
        <v>50.2105</v>
      </c>
      <c r="C149" s="0" t="n">
        <v>0</v>
      </c>
      <c r="D149" s="6" t="n">
        <f aca="false">(B149+C149-B148)/B148</f>
        <v>0.0323582808866557</v>
      </c>
      <c r="E149" s="0" t="n">
        <v>20.1865</v>
      </c>
      <c r="F149" s="0" t="n">
        <v>0.16</v>
      </c>
      <c r="G149" s="6" t="n">
        <f aca="false">(E149+F149-E148)/E148</f>
        <v>-0.0211157831939727</v>
      </c>
      <c r="H149" s="0" t="n">
        <v>10.7335</v>
      </c>
      <c r="I149" s="0" t="n">
        <v>0</v>
      </c>
      <c r="J149" s="6" t="n">
        <f aca="false">(H149+I149-H148)/H148</f>
        <v>-0.00656214134982044</v>
      </c>
    </row>
    <row r="150" customFormat="false" ht="12.8" hidden="false" customHeight="false" outlineLevel="0" collapsed="false">
      <c r="A150" s="5" t="s">
        <v>156</v>
      </c>
      <c r="B150" s="0" t="n">
        <v>47.64</v>
      </c>
      <c r="C150" s="0" t="n">
        <v>0</v>
      </c>
      <c r="D150" s="6" t="n">
        <f aca="false">(B150+C150-B149)/B149</f>
        <v>-0.0511944712759284</v>
      </c>
      <c r="E150" s="0" t="n">
        <v>20.9856</v>
      </c>
      <c r="F150" s="0" t="n">
        <v>0</v>
      </c>
      <c r="G150" s="6" t="n">
        <f aca="false">(E150+F150-E149)/E149</f>
        <v>0.0395858618383575</v>
      </c>
      <c r="H150" s="0" t="n">
        <v>10.3582</v>
      </c>
      <c r="I150" s="0" t="n">
        <v>0</v>
      </c>
      <c r="J150" s="6" t="n">
        <f aca="false">(H150+I150-H149)/H149</f>
        <v>-0.0349652955699445</v>
      </c>
    </row>
    <row r="151" customFormat="false" ht="12.8" hidden="false" customHeight="false" outlineLevel="0" collapsed="false">
      <c r="A151" s="5" t="s">
        <v>157</v>
      </c>
      <c r="B151" s="0" t="n">
        <v>46.4581</v>
      </c>
      <c r="C151" s="0" t="n">
        <v>0.525</v>
      </c>
      <c r="D151" s="6" t="n">
        <f aca="false">(B151+C151-B150)/B150</f>
        <v>-0.0137888329135181</v>
      </c>
      <c r="E151" s="0" t="n">
        <v>22.1156</v>
      </c>
      <c r="F151" s="0" t="n">
        <v>0</v>
      </c>
      <c r="G151" s="6" t="n">
        <f aca="false">(E151+F151-E150)/E150</f>
        <v>0.0538464470875266</v>
      </c>
      <c r="H151" s="0" t="n">
        <v>12.0496</v>
      </c>
      <c r="I151" s="0" t="n">
        <v>0</v>
      </c>
      <c r="J151" s="6" t="n">
        <f aca="false">(H151+I151-H150)/H150</f>
        <v>0.163290919271688</v>
      </c>
    </row>
    <row r="152" customFormat="false" ht="12.8" hidden="false" customHeight="false" outlineLevel="0" collapsed="false">
      <c r="A152" s="5" t="s">
        <v>158</v>
      </c>
      <c r="B152" s="0" t="n">
        <v>48.1127</v>
      </c>
      <c r="C152" s="0" t="n">
        <v>0</v>
      </c>
      <c r="D152" s="6" t="n">
        <f aca="false">(B152+C152-B151)/B151</f>
        <v>0.0356148873931563</v>
      </c>
      <c r="E152" s="0" t="n">
        <v>21.6054</v>
      </c>
      <c r="F152" s="0" t="n">
        <v>0.16</v>
      </c>
      <c r="G152" s="6" t="n">
        <f aca="false">(E152+F152-E151)/E151</f>
        <v>-0.0158349762158839</v>
      </c>
      <c r="H152" s="0" t="n">
        <v>11.8752</v>
      </c>
      <c r="I152" s="0" t="n">
        <v>0</v>
      </c>
      <c r="J152" s="6" t="n">
        <f aca="false">(H152+I152-H151)/H151</f>
        <v>-0.0144735094940911</v>
      </c>
    </row>
    <row r="153" customFormat="false" ht="12.8" hidden="false" customHeight="false" outlineLevel="0" collapsed="false">
      <c r="A153" s="5" t="s">
        <v>159</v>
      </c>
      <c r="B153" s="0" t="n">
        <v>47.735</v>
      </c>
      <c r="C153" s="0" t="n">
        <v>0</v>
      </c>
      <c r="D153" s="6" t="n">
        <f aca="false">(B153+C153-B152)/B152</f>
        <v>-0.00785031810727723</v>
      </c>
      <c r="E153" s="0" t="n">
        <v>20.2164</v>
      </c>
      <c r="F153" s="0" t="n">
        <v>0</v>
      </c>
      <c r="G153" s="6" t="n">
        <f aca="false">(E153+F153-E152)/E152</f>
        <v>-0.0642894831847593</v>
      </c>
      <c r="H153" s="0" t="n">
        <v>11.7669</v>
      </c>
      <c r="I153" s="0" t="n">
        <v>0</v>
      </c>
      <c r="J153" s="6" t="n">
        <f aca="false">(H153+I153-H152)/H152</f>
        <v>-0.00911984640258689</v>
      </c>
    </row>
    <row r="154" customFormat="false" ht="12.8" hidden="false" customHeight="false" outlineLevel="0" collapsed="false">
      <c r="A154" s="5" t="s">
        <v>160</v>
      </c>
      <c r="B154" s="0" t="n">
        <v>48.7389</v>
      </c>
      <c r="C154" s="0" t="n">
        <v>0.525</v>
      </c>
      <c r="D154" s="6" t="n">
        <f aca="false">(B154+C154-B153)/B153</f>
        <v>0.0320289096051116</v>
      </c>
      <c r="E154" s="0" t="n">
        <v>21.6297</v>
      </c>
      <c r="F154" s="0" t="n">
        <v>0</v>
      </c>
      <c r="G154" s="6" t="n">
        <f aca="false">(E154+F154-E153)/E153</f>
        <v>0.0699085890663026</v>
      </c>
      <c r="H154" s="0" t="n">
        <v>12.4908</v>
      </c>
      <c r="I154" s="0" t="n">
        <v>0</v>
      </c>
      <c r="J154" s="6" t="n">
        <f aca="false">(H154+I154-H153)/H153</f>
        <v>0.061520026515055</v>
      </c>
    </row>
    <row r="155" customFormat="false" ht="12.8" hidden="false" customHeight="false" outlineLevel="0" collapsed="false">
      <c r="A155" s="5" t="s">
        <v>161</v>
      </c>
      <c r="B155" s="0" t="n">
        <v>49.1807</v>
      </c>
      <c r="C155" s="0" t="n">
        <v>0</v>
      </c>
      <c r="D155" s="6" t="n">
        <f aca="false">(B155+C155-B154)/B154</f>
        <v>0.00906462804864288</v>
      </c>
      <c r="E155" s="0" t="n">
        <v>20.9323</v>
      </c>
      <c r="F155" s="0" t="n">
        <v>0.2</v>
      </c>
      <c r="G155" s="6" t="n">
        <f aca="false">(E155+F155-E154)/E154</f>
        <v>-0.0229961580604446</v>
      </c>
      <c r="H155" s="0" t="n">
        <v>11.7941</v>
      </c>
      <c r="I155" s="0" t="n">
        <v>0</v>
      </c>
      <c r="J155" s="6" t="n">
        <f aca="false">(H155+I155-H154)/H154</f>
        <v>-0.0557770519102059</v>
      </c>
    </row>
    <row r="156" customFormat="false" ht="12.8" hidden="false" customHeight="false" outlineLevel="0" collapsed="false">
      <c r="A156" s="5" t="s">
        <v>162</v>
      </c>
      <c r="B156" s="0" t="n">
        <v>50.8107</v>
      </c>
      <c r="C156" s="0" t="n">
        <v>0</v>
      </c>
      <c r="D156" s="6" t="n">
        <f aca="false">(B156+C156-B155)/B155</f>
        <v>0.0331430825506753</v>
      </c>
      <c r="E156" s="0" t="n">
        <v>21.2432</v>
      </c>
      <c r="F156" s="0" t="n">
        <v>0</v>
      </c>
      <c r="G156" s="6" t="n">
        <f aca="false">(E156+F156-E155)/E155</f>
        <v>0.0148526439999427</v>
      </c>
      <c r="H156" s="0" t="n">
        <v>12.4976</v>
      </c>
      <c r="I156" s="0" t="n">
        <v>0</v>
      </c>
      <c r="J156" s="6" t="n">
        <f aca="false">(H156+I156-H155)/H155</f>
        <v>0.0596484683019476</v>
      </c>
    </row>
    <row r="157" customFormat="false" ht="12.8" hidden="false" customHeight="false" outlineLevel="0" collapsed="false">
      <c r="A157" s="5" t="s">
        <v>163</v>
      </c>
      <c r="B157" s="0" t="n">
        <v>48.3971</v>
      </c>
      <c r="C157" s="0" t="n">
        <v>0.525</v>
      </c>
      <c r="D157" s="6" t="n">
        <f aca="false">(B157+C157-B156)/B156</f>
        <v>-0.0371693363799357</v>
      </c>
      <c r="E157" s="0" t="n">
        <v>24.1646</v>
      </c>
      <c r="F157" s="0" t="n">
        <v>0</v>
      </c>
      <c r="G157" s="6" t="n">
        <f aca="false">(E157+F157-E156)/E156</f>
        <v>0.1375216539881</v>
      </c>
      <c r="H157" s="0" t="n">
        <v>14.0862</v>
      </c>
      <c r="I157" s="0" t="n">
        <v>0</v>
      </c>
      <c r="J157" s="6" t="n">
        <f aca="false">(H157+I157-H156)/H156</f>
        <v>0.127112405581872</v>
      </c>
    </row>
    <row r="158" customFormat="false" ht="12.8" hidden="false" customHeight="false" outlineLevel="0" collapsed="false">
      <c r="A158" s="5" t="s">
        <v>164</v>
      </c>
      <c r="B158" s="0" t="n">
        <v>51.9133</v>
      </c>
      <c r="C158" s="0" t="n">
        <v>0</v>
      </c>
      <c r="D158" s="6" t="n">
        <f aca="false">(B158+C158-B157)/B157</f>
        <v>0.0726531135129997</v>
      </c>
      <c r="E158" s="0" t="n">
        <v>26.1448</v>
      </c>
      <c r="F158" s="0" t="n">
        <v>0.2</v>
      </c>
      <c r="G158" s="6" t="n">
        <f aca="false">(E158+F158-E157)/E157</f>
        <v>0.0902228880262864</v>
      </c>
      <c r="H158" s="0" t="n">
        <v>16.7388</v>
      </c>
      <c r="I158" s="0" t="n">
        <v>0</v>
      </c>
      <c r="J158" s="6" t="n">
        <f aca="false">(H158+I158-H157)/H157</f>
        <v>0.188311964901819</v>
      </c>
    </row>
    <row r="159" customFormat="false" ht="12.8" hidden="false" customHeight="false" outlineLevel="0" collapsed="false">
      <c r="A159" s="5" t="s">
        <v>165</v>
      </c>
      <c r="B159" s="0" t="n">
        <v>51.5985</v>
      </c>
      <c r="C159" s="0" t="n">
        <v>0</v>
      </c>
      <c r="D159" s="6" t="n">
        <f aca="false">(B159+C159-B158)/B158</f>
        <v>-0.00606395663539013</v>
      </c>
      <c r="E159" s="0" t="n">
        <v>26.569</v>
      </c>
      <c r="F159" s="0" t="n">
        <v>0</v>
      </c>
      <c r="G159" s="6" t="n">
        <f aca="false">(E159+F159-E158)/E158</f>
        <v>0.0162250237140846</v>
      </c>
      <c r="H159" s="0" t="n">
        <v>18.5011</v>
      </c>
      <c r="I159" s="0" t="n">
        <v>0</v>
      </c>
      <c r="J159" s="6" t="n">
        <f aca="false">(H159+I159-H158)/H158</f>
        <v>0.105282338040959</v>
      </c>
    </row>
    <row r="160" customFormat="false" ht="12.8" hidden="false" customHeight="false" outlineLevel="0" collapsed="false">
      <c r="A160" s="5" t="s">
        <v>166</v>
      </c>
      <c r="B160" s="0" t="n">
        <v>49.2683</v>
      </c>
      <c r="C160" s="0" t="n">
        <v>0.562</v>
      </c>
      <c r="D160" s="6" t="n">
        <f aca="false">(B160+C160-B159)/B159</f>
        <v>-0.0342684380359894</v>
      </c>
      <c r="E160" s="0" t="n">
        <v>26.3713</v>
      </c>
      <c r="F160" s="0" t="n">
        <v>0</v>
      </c>
      <c r="G160" s="6" t="n">
        <f aca="false">(E160+F160-E159)/E159</f>
        <v>-0.00744100267228716</v>
      </c>
      <c r="H160" s="0" t="n">
        <v>18.0206</v>
      </c>
      <c r="I160" s="0" t="n">
        <v>0</v>
      </c>
      <c r="J160" s="6" t="n">
        <f aca="false">(H160+I160-H159)/H159</f>
        <v>-0.0259714287258595</v>
      </c>
    </row>
    <row r="161" customFormat="false" ht="12.8" hidden="false" customHeight="false" outlineLevel="0" collapsed="false">
      <c r="A161" s="5" t="s">
        <v>167</v>
      </c>
      <c r="B161" s="0" t="n">
        <v>48.2231</v>
      </c>
      <c r="C161" s="0" t="n">
        <v>0</v>
      </c>
      <c r="D161" s="6" t="n">
        <f aca="false">(B161+C161-B160)/B160</f>
        <v>-0.0212144522948833</v>
      </c>
      <c r="E161" s="0" t="n">
        <v>24.2035</v>
      </c>
      <c r="F161" s="0" t="n">
        <v>0.2</v>
      </c>
      <c r="G161" s="6" t="n">
        <f aca="false">(E161+F161-E160)/E160</f>
        <v>-0.0746189986841758</v>
      </c>
      <c r="H161" s="0" t="n">
        <v>17.8278</v>
      </c>
      <c r="I161" s="0" t="n">
        <v>0</v>
      </c>
      <c r="J161" s="6" t="n">
        <f aca="false">(H161+I161-H160)/H160</f>
        <v>-0.0106988668523802</v>
      </c>
    </row>
    <row r="162" customFormat="false" ht="12.8" hidden="false" customHeight="false" outlineLevel="0" collapsed="false">
      <c r="A162" s="5" t="s">
        <v>168</v>
      </c>
      <c r="B162" s="0" t="n">
        <v>47.418</v>
      </c>
      <c r="C162" s="0" t="n">
        <v>0</v>
      </c>
      <c r="D162" s="6" t="n">
        <f aca="false">(B162+C162-B161)/B161</f>
        <v>-0.016695318218862</v>
      </c>
      <c r="E162" s="0" t="n">
        <v>25.3643</v>
      </c>
      <c r="F162" s="0" t="n">
        <v>0</v>
      </c>
      <c r="G162" s="6" t="n">
        <f aca="false">(E162+F162-E161)/E161</f>
        <v>0.0479600057842875</v>
      </c>
      <c r="H162" s="0" t="n">
        <v>18.0213</v>
      </c>
      <c r="I162" s="0" t="n">
        <v>0</v>
      </c>
      <c r="J162" s="6" t="n">
        <f aca="false">(H162+I162-H161)/H161</f>
        <v>0.0108538350217077</v>
      </c>
    </row>
    <row r="163" customFormat="false" ht="12.8" hidden="false" customHeight="false" outlineLevel="0" collapsed="false">
      <c r="A163" s="5" t="s">
        <v>169</v>
      </c>
      <c r="B163" s="0" t="n">
        <v>50.3982</v>
      </c>
      <c r="C163" s="0" t="n">
        <v>0.562</v>
      </c>
      <c r="D163" s="6" t="n">
        <f aca="false">(B163+C163-B162)/B162</f>
        <v>0.074701590113459</v>
      </c>
      <c r="E163" s="0" t="n">
        <v>24.4356</v>
      </c>
      <c r="F163" s="0" t="n">
        <v>0</v>
      </c>
      <c r="G163" s="6" t="n">
        <f aca="false">(E163+F163-E162)/E162</f>
        <v>-0.0366144541737796</v>
      </c>
      <c r="H163" s="0" t="n">
        <v>18.847</v>
      </c>
      <c r="I163" s="0" t="n">
        <v>0</v>
      </c>
      <c r="J163" s="6" t="n">
        <f aca="false">(H163+I163-H162)/H162</f>
        <v>0.0458180042505258</v>
      </c>
    </row>
    <row r="164" customFormat="false" ht="12.8" hidden="false" customHeight="false" outlineLevel="0" collapsed="false">
      <c r="A164" s="5" t="s">
        <v>170</v>
      </c>
      <c r="B164" s="0" t="n">
        <v>52.4676</v>
      </c>
      <c r="C164" s="0" t="n">
        <v>0</v>
      </c>
      <c r="D164" s="6" t="n">
        <f aca="false">(B164+C164-B163)/B163</f>
        <v>0.041060990273462</v>
      </c>
      <c r="E164" s="0" t="n">
        <v>25.7246</v>
      </c>
      <c r="F164" s="0" t="n">
        <v>0.2</v>
      </c>
      <c r="G164" s="6" t="n">
        <f aca="false">(E164+F164-E163)/E163</f>
        <v>0.0609356840020297</v>
      </c>
      <c r="H164" s="0" t="n">
        <v>20.6158</v>
      </c>
      <c r="I164" s="0" t="n">
        <v>2.65</v>
      </c>
      <c r="J164" s="6" t="n">
        <f aca="false">(H164+I164-H163)/H163</f>
        <v>0.234456412161086</v>
      </c>
    </row>
    <row r="165" customFormat="false" ht="12.8" hidden="false" customHeight="false" outlineLevel="0" collapsed="false">
      <c r="A165" s="5" t="s">
        <v>171</v>
      </c>
      <c r="B165" s="0" t="n">
        <v>54.1621</v>
      </c>
      <c r="C165" s="0" t="n">
        <v>0</v>
      </c>
      <c r="D165" s="6" t="n">
        <f aca="false">(B165+C165-B164)/B164</f>
        <v>0.0322961217970711</v>
      </c>
      <c r="E165" s="0" t="n">
        <v>24.8399</v>
      </c>
      <c r="F165" s="0" t="n">
        <v>0</v>
      </c>
      <c r="G165" s="6" t="n">
        <f aca="false">(E165+F165-E164)/E164</f>
        <v>-0.0343912053054274</v>
      </c>
      <c r="H165" s="0" t="n">
        <v>20.6736</v>
      </c>
      <c r="I165" s="0" t="n">
        <v>0</v>
      </c>
      <c r="J165" s="6" t="n">
        <f aca="false">(H165+I165-H164)/H164</f>
        <v>0.00280367485132764</v>
      </c>
    </row>
    <row r="166" customFormat="false" ht="12.8" hidden="false" customHeight="false" outlineLevel="0" collapsed="false">
      <c r="A166" s="5" t="s">
        <v>172</v>
      </c>
      <c r="B166" s="0" t="n">
        <v>54.5058</v>
      </c>
      <c r="C166" s="0" t="n">
        <v>0.562</v>
      </c>
      <c r="D166" s="6" t="n">
        <f aca="false">(B166+C166-B165)/B165</f>
        <v>0.0167220251799689</v>
      </c>
      <c r="E166" s="0" t="n">
        <v>23.8216</v>
      </c>
      <c r="F166" s="0" t="n">
        <v>0</v>
      </c>
      <c r="G166" s="6" t="n">
        <f aca="false">(E166+F166-E165)/E165</f>
        <v>-0.0409945289634821</v>
      </c>
      <c r="H166" s="0" t="n">
        <v>18.449</v>
      </c>
      <c r="I166" s="0" t="n">
        <v>0</v>
      </c>
      <c r="J166" s="6" t="n">
        <f aca="false">(H166+I166-H165)/H165</f>
        <v>-0.107605835461652</v>
      </c>
    </row>
    <row r="167" customFormat="false" ht="12.8" hidden="false" customHeight="false" outlineLevel="0" collapsed="false">
      <c r="A167" s="5" t="s">
        <v>173</v>
      </c>
      <c r="B167" s="0" t="n">
        <v>54.9702</v>
      </c>
      <c r="C167" s="0" t="n">
        <v>0</v>
      </c>
      <c r="D167" s="6" t="n">
        <f aca="false">(B167+C167-B166)/B166</f>
        <v>0.00852019418116967</v>
      </c>
      <c r="E167" s="0" t="n">
        <v>22.4035</v>
      </c>
      <c r="F167" s="0" t="n">
        <v>0.23</v>
      </c>
      <c r="G167" s="6" t="n">
        <f aca="false">(E167+F167-E166)/E166</f>
        <v>-0.0498749034489706</v>
      </c>
      <c r="H167" s="0" t="n">
        <v>18.224</v>
      </c>
      <c r="I167" s="0" t="n">
        <v>2.65</v>
      </c>
      <c r="J167" s="6" t="n">
        <f aca="false">(H167+I167-H166)/H166</f>
        <v>0.131443438668762</v>
      </c>
    </row>
    <row r="168" customFormat="false" ht="12.8" hidden="false" customHeight="false" outlineLevel="0" collapsed="false">
      <c r="A168" s="5" t="s">
        <v>174</v>
      </c>
      <c r="B168" s="0" t="n">
        <v>53.443</v>
      </c>
      <c r="C168" s="0" t="n">
        <v>0</v>
      </c>
      <c r="D168" s="6" t="n">
        <f aca="false">(B168+C168-B167)/B167</f>
        <v>-0.0277823256964683</v>
      </c>
      <c r="E168" s="0" t="n">
        <v>22.4832</v>
      </c>
      <c r="F168" s="0" t="n">
        <v>0</v>
      </c>
      <c r="G168" s="6" t="n">
        <f aca="false">(E168+F168-E167)/E167</f>
        <v>0.00355747985805785</v>
      </c>
      <c r="H168" s="0" t="n">
        <v>16.5704</v>
      </c>
      <c r="I168" s="0" t="n">
        <v>0</v>
      </c>
      <c r="J168" s="6" t="n">
        <f aca="false">(H168+I168-H167)/H167</f>
        <v>-0.090737489025461</v>
      </c>
    </row>
    <row r="169" customFormat="false" ht="12.8" hidden="false" customHeight="false" outlineLevel="0" collapsed="false">
      <c r="A169" s="5" t="s">
        <v>175</v>
      </c>
      <c r="B169" s="0" t="n">
        <v>59.6455</v>
      </c>
      <c r="C169" s="0" t="n">
        <v>0.562</v>
      </c>
      <c r="D169" s="6" t="n">
        <f aca="false">(B169+C169-B168)/B168</f>
        <v>0.126574106992497</v>
      </c>
      <c r="E169" s="0" t="n">
        <v>23.1063</v>
      </c>
      <c r="F169" s="0" t="n">
        <v>0</v>
      </c>
      <c r="G169" s="6" t="n">
        <f aca="false">(E169+F169-E168)/E168</f>
        <v>0.0277140264731</v>
      </c>
      <c r="H169" s="0" t="n">
        <v>14.1827</v>
      </c>
      <c r="I169" s="0" t="n">
        <v>0</v>
      </c>
      <c r="J169" s="6" t="n">
        <f aca="false">(H169+I169-H168)/H168</f>
        <v>-0.144094288611017</v>
      </c>
    </row>
    <row r="170" customFormat="false" ht="12.8" hidden="false" customHeight="false" outlineLevel="0" collapsed="false">
      <c r="A170" s="5" t="s">
        <v>176</v>
      </c>
      <c r="B170" s="0" t="n">
        <v>60.455</v>
      </c>
      <c r="C170" s="0" t="n">
        <v>0</v>
      </c>
      <c r="D170" s="6" t="n">
        <f aca="false">(B170+C170-B169)/B169</f>
        <v>0.013571853702291</v>
      </c>
      <c r="E170" s="0" t="n">
        <v>23.5929</v>
      </c>
      <c r="F170" s="0" t="n">
        <v>0.23</v>
      </c>
      <c r="G170" s="6" t="n">
        <f aca="false">(E170+F170-E169)/E169</f>
        <v>0.0310131868797687</v>
      </c>
      <c r="H170" s="0" t="n">
        <v>13.8218</v>
      </c>
      <c r="I170" s="0" t="n">
        <v>2.65</v>
      </c>
      <c r="J170" s="6" t="n">
        <f aca="false">(H170+I170-H169)/H169</f>
        <v>0.161400861613092</v>
      </c>
    </row>
    <row r="171" customFormat="false" ht="12.8" hidden="false" customHeight="false" outlineLevel="0" collapsed="false">
      <c r="A171" s="5" t="s">
        <v>177</v>
      </c>
      <c r="B171" s="0" t="n">
        <v>61.1533</v>
      </c>
      <c r="C171" s="0" t="n">
        <v>0</v>
      </c>
      <c r="D171" s="6" t="n">
        <f aca="false">(B171+C171-B170)/B170</f>
        <v>0.0115507402199984</v>
      </c>
      <c r="E171" s="0" t="n">
        <v>24.276</v>
      </c>
      <c r="F171" s="0" t="n">
        <v>0</v>
      </c>
      <c r="G171" s="6" t="n">
        <f aca="false">(E171+F171-E170)/E170</f>
        <v>0.028953625878972</v>
      </c>
      <c r="H171" s="0" t="n">
        <v>13.8612</v>
      </c>
      <c r="I171" s="0" t="n">
        <v>0</v>
      </c>
      <c r="J171" s="6" t="n">
        <f aca="false">(H171+I171-H170)/H170</f>
        <v>0.00285056939038335</v>
      </c>
    </row>
    <row r="172" customFormat="false" ht="12.8" hidden="false" customHeight="false" outlineLevel="0" collapsed="false">
      <c r="A172" s="5" t="s">
        <v>178</v>
      </c>
      <c r="B172" s="0" t="n">
        <v>61.3984</v>
      </c>
      <c r="C172" s="0" t="n">
        <v>0.6015</v>
      </c>
      <c r="D172" s="6" t="n">
        <f aca="false">(B172+C172-B171)/B171</f>
        <v>0.0138438972222268</v>
      </c>
      <c r="E172" s="0" t="n">
        <v>28.0908</v>
      </c>
      <c r="F172" s="0" t="n">
        <v>0</v>
      </c>
      <c r="G172" s="6" t="n">
        <f aca="false">(E172+F172-E171)/E171</f>
        <v>0.157142857142857</v>
      </c>
      <c r="H172" s="0" t="n">
        <v>13.865</v>
      </c>
      <c r="I172" s="0" t="n">
        <v>0</v>
      </c>
      <c r="J172" s="6" t="n">
        <f aca="false">(H172+I172-H171)/H171</f>
        <v>0.000274146538539234</v>
      </c>
    </row>
    <row r="173" customFormat="false" ht="12.8" hidden="false" customHeight="false" outlineLevel="0" collapsed="false">
      <c r="A173" s="5" t="s">
        <v>179</v>
      </c>
      <c r="B173" s="0" t="n">
        <v>61.3904</v>
      </c>
      <c r="C173" s="0" t="n">
        <v>0</v>
      </c>
      <c r="D173" s="6" t="n">
        <f aca="false">(B173+C173-B172)/B172</f>
        <v>-0.00013029655495913</v>
      </c>
      <c r="E173" s="0" t="n">
        <v>29.8215</v>
      </c>
      <c r="F173" s="0" t="n">
        <v>0.23</v>
      </c>
      <c r="G173" s="6" t="n">
        <f aca="false">(E173+F173-E172)/E172</f>
        <v>0.0697986529397525</v>
      </c>
      <c r="H173" s="0" t="n">
        <v>14.1768</v>
      </c>
      <c r="I173" s="0" t="n">
        <v>3.05</v>
      </c>
      <c r="J173" s="6" t="n">
        <f aca="false">(H173+I173-H172)/H172</f>
        <v>0.242466642625316</v>
      </c>
    </row>
    <row r="174" customFormat="false" ht="12.8" hidden="false" customHeight="false" outlineLevel="0" collapsed="false">
      <c r="A174" s="5" t="s">
        <v>180</v>
      </c>
      <c r="B174" s="0" t="n">
        <v>61.5743</v>
      </c>
      <c r="C174" s="0" t="n">
        <v>0</v>
      </c>
      <c r="D174" s="6" t="n">
        <f aca="false">(B174+C174-B173)/B173</f>
        <v>0.00299558237118509</v>
      </c>
      <c r="E174" s="0" t="n">
        <v>29.5182</v>
      </c>
      <c r="F174" s="0" t="n">
        <v>0</v>
      </c>
      <c r="G174" s="6" t="n">
        <f aca="false">(E174+F174-E173)/E173</f>
        <v>-0.0101705145616418</v>
      </c>
      <c r="H174" s="0" t="n">
        <v>12.4996</v>
      </c>
      <c r="I174" s="0" t="n">
        <v>0</v>
      </c>
      <c r="J174" s="6" t="n">
        <f aca="false">(H174+I174-H173)/H173</f>
        <v>-0.11830596467468</v>
      </c>
    </row>
    <row r="175" customFormat="false" ht="12.8" hidden="false" customHeight="false" outlineLevel="0" collapsed="false">
      <c r="A175" s="5" t="s">
        <v>181</v>
      </c>
      <c r="B175" s="0" t="n">
        <v>64.7039</v>
      </c>
      <c r="C175" s="0" t="n">
        <v>0.6015</v>
      </c>
      <c r="D175" s="6" t="n">
        <f aca="false">(B175+C175-B174)/B174</f>
        <v>0.0605950859368276</v>
      </c>
      <c r="E175" s="0" t="n">
        <v>27.2068</v>
      </c>
      <c r="F175" s="0" t="n">
        <v>0</v>
      </c>
      <c r="G175" s="6" t="n">
        <f aca="false">(E175+F175-E174)/E174</f>
        <v>-0.0783042326429118</v>
      </c>
      <c r="H175" s="0" t="n">
        <v>14.2649</v>
      </c>
      <c r="I175" s="0" t="n">
        <v>0</v>
      </c>
      <c r="J175" s="6" t="n">
        <f aca="false">(H175+I175-H174)/H174</f>
        <v>0.141228519312618</v>
      </c>
    </row>
    <row r="176" customFormat="false" ht="12.8" hidden="false" customHeight="false" outlineLevel="0" collapsed="false">
      <c r="A176" s="5" t="s">
        <v>182</v>
      </c>
      <c r="B176" s="0" t="n">
        <v>62.762</v>
      </c>
      <c r="C176" s="0" t="n">
        <v>0</v>
      </c>
      <c r="D176" s="6" t="n">
        <f aca="false">(B176+C176-B175)/B175</f>
        <v>-0.0300121012798302</v>
      </c>
      <c r="E176" s="0" t="n">
        <v>28.7435</v>
      </c>
      <c r="F176" s="0" t="n">
        <v>0.23</v>
      </c>
      <c r="G176" s="6" t="n">
        <f aca="false">(E176+F176-E175)/E175</f>
        <v>0.0649359718893806</v>
      </c>
      <c r="H176" s="0" t="n">
        <v>15.4599</v>
      </c>
      <c r="I176" s="0" t="n">
        <v>3.05</v>
      </c>
      <c r="J176" s="6" t="n">
        <f aca="false">(H176+I176-H175)/H175</f>
        <v>0.297583579275003</v>
      </c>
    </row>
    <row r="177" customFormat="false" ht="12.8" hidden="false" customHeight="false" outlineLevel="0" collapsed="false">
      <c r="A177" s="5" t="s">
        <v>183</v>
      </c>
      <c r="B177" s="0" t="n">
        <v>60.9087</v>
      </c>
      <c r="C177" s="0" t="n">
        <v>0</v>
      </c>
      <c r="D177" s="6" t="n">
        <f aca="false">(B177+C177-B176)/B176</f>
        <v>-0.0295290143717536</v>
      </c>
      <c r="E177" s="0" t="n">
        <v>28.6402</v>
      </c>
      <c r="F177" s="0" t="n">
        <v>0</v>
      </c>
      <c r="G177" s="6" t="n">
        <f aca="false">(E177+F177-E176)/E176</f>
        <v>-0.00359385600222662</v>
      </c>
      <c r="H177" s="0" t="n">
        <v>15.1278</v>
      </c>
      <c r="I177" s="0" t="n">
        <v>0</v>
      </c>
      <c r="J177" s="6" t="n">
        <f aca="false">(H177+I177-H176)/H176</f>
        <v>-0.0214813808627481</v>
      </c>
    </row>
    <row r="178" customFormat="false" ht="12.8" hidden="false" customHeight="false" outlineLevel="0" collapsed="false">
      <c r="A178" s="5" t="s">
        <v>184</v>
      </c>
      <c r="B178" s="0" t="n">
        <v>65.5661</v>
      </c>
      <c r="C178" s="0" t="n">
        <v>0.6015</v>
      </c>
      <c r="D178" s="6" t="n">
        <f aca="false">(B178+C178-B177)/B177</f>
        <v>0.0863407033806337</v>
      </c>
      <c r="E178" s="0" t="n">
        <v>30.4689</v>
      </c>
      <c r="F178" s="0" t="n">
        <v>0</v>
      </c>
      <c r="G178" s="6" t="n">
        <f aca="false">(E178+F178-E177)/E177</f>
        <v>0.0638508110976879</v>
      </c>
      <c r="H178" s="0" t="n">
        <v>16.5859</v>
      </c>
      <c r="I178" s="0" t="n">
        <v>0</v>
      </c>
      <c r="J178" s="6" t="n">
        <f aca="false">(H178+I178-H177)/H177</f>
        <v>0.0963854625259455</v>
      </c>
    </row>
    <row r="179" customFormat="false" ht="12.8" hidden="false" customHeight="false" outlineLevel="0" collapsed="false">
      <c r="A179" s="5" t="s">
        <v>185</v>
      </c>
      <c r="B179" s="0" t="n">
        <v>68.3836</v>
      </c>
      <c r="C179" s="0" t="n">
        <v>0</v>
      </c>
      <c r="D179" s="6" t="n">
        <f aca="false">(B179+C179-B178)/B178</f>
        <v>0.0429719016381941</v>
      </c>
      <c r="E179" s="0" t="n">
        <v>33.0641</v>
      </c>
      <c r="F179" s="0" t="n">
        <v>0.28</v>
      </c>
      <c r="G179" s="6" t="n">
        <f aca="false">(E179+F179-E178)/E178</f>
        <v>0.0943650738950209</v>
      </c>
      <c r="H179" s="0" t="n">
        <v>17.748</v>
      </c>
      <c r="I179" s="0" t="n">
        <v>3.05</v>
      </c>
      <c r="J179" s="6" t="n">
        <f aca="false">(H179+I179-H178)/H178</f>
        <v>0.25395667404241</v>
      </c>
    </row>
    <row r="180" customFormat="false" ht="12.8" hidden="false" customHeight="false" outlineLevel="0" collapsed="false">
      <c r="A180" s="5" t="s">
        <v>186</v>
      </c>
      <c r="B180" s="0" t="n">
        <v>66.102</v>
      </c>
      <c r="C180" s="0" t="n">
        <v>0</v>
      </c>
      <c r="D180" s="6" t="n">
        <f aca="false">(B180+C180-B179)/B179</f>
        <v>-0.0333647248755549</v>
      </c>
      <c r="E180" s="0" t="n">
        <v>32.4398</v>
      </c>
      <c r="F180" s="0" t="n">
        <v>0</v>
      </c>
      <c r="G180" s="6" t="n">
        <f aca="false">(E180+F180-E179)/E179</f>
        <v>-0.018881505923343</v>
      </c>
      <c r="H180" s="0" t="n">
        <v>17.906</v>
      </c>
      <c r="I180" s="0" t="n">
        <v>0</v>
      </c>
      <c r="J180" s="6" t="n">
        <f aca="false">(H180+I180-H179)/H179</f>
        <v>0.00890241153932824</v>
      </c>
    </row>
    <row r="181" customFormat="false" ht="12.8" hidden="false" customHeight="false" outlineLevel="0" collapsed="false">
      <c r="A181" s="5" t="s">
        <v>187</v>
      </c>
      <c r="B181" s="0" t="n">
        <v>62.685</v>
      </c>
      <c r="C181" s="0" t="n">
        <v>0.6015</v>
      </c>
      <c r="D181" s="6" t="n">
        <f aca="false">(B181+C181-B180)/B180</f>
        <v>-0.0425932649541617</v>
      </c>
      <c r="E181" s="0" t="n">
        <v>32.8126</v>
      </c>
      <c r="F181" s="0" t="n">
        <v>0</v>
      </c>
      <c r="G181" s="6" t="n">
        <f aca="false">(E181+F181-E180)/E180</f>
        <v>0.0114920560545998</v>
      </c>
      <c r="H181" s="0" t="n">
        <v>15.9776</v>
      </c>
      <c r="I181" s="0" t="n">
        <v>0</v>
      </c>
      <c r="J181" s="6" t="n">
        <f aca="false">(H181+I181-H180)/H180</f>
        <v>-0.107695744443203</v>
      </c>
    </row>
    <row r="182" customFormat="false" ht="12.8" hidden="false" customHeight="false" outlineLevel="0" collapsed="false">
      <c r="A182" s="5" t="s">
        <v>188</v>
      </c>
      <c r="B182" s="0" t="n">
        <v>64.3539</v>
      </c>
      <c r="C182" s="0" t="n">
        <v>0</v>
      </c>
      <c r="D182" s="6" t="n">
        <f aca="false">(B182+C182-B181)/B181</f>
        <v>0.0266235941612825</v>
      </c>
      <c r="E182" s="0" t="n">
        <v>33.4688</v>
      </c>
      <c r="F182" s="0" t="n">
        <v>0.28</v>
      </c>
      <c r="G182" s="6" t="n">
        <f aca="false">(E182+F182-E181)/E181</f>
        <v>0.0285317225699883</v>
      </c>
      <c r="H182" s="0" t="n">
        <v>16.8959</v>
      </c>
      <c r="I182" s="0" t="n">
        <v>3.05</v>
      </c>
      <c r="J182" s="6" t="n">
        <f aca="false">(H182+I182-H181)/H181</f>
        <v>0.248366463048268</v>
      </c>
    </row>
    <row r="183" customFormat="false" ht="12.8" hidden="false" customHeight="false" outlineLevel="0" collapsed="false">
      <c r="A183" s="5" t="s">
        <v>189</v>
      </c>
      <c r="B183" s="0" t="n">
        <v>65.9411</v>
      </c>
      <c r="C183" s="0" t="n">
        <v>0</v>
      </c>
      <c r="D183" s="6" t="n">
        <f aca="false">(B183+C183-B182)/B182</f>
        <v>0.0246636179003916</v>
      </c>
      <c r="E183" s="0" t="n">
        <v>35.8101</v>
      </c>
      <c r="F183" s="0" t="n">
        <v>0</v>
      </c>
      <c r="G183" s="6" t="n">
        <f aca="false">(E183+F183-E182)/E182</f>
        <v>0.0699547040826082</v>
      </c>
      <c r="H183" s="0" t="n">
        <v>17.233</v>
      </c>
      <c r="I183" s="0" t="n">
        <v>0</v>
      </c>
      <c r="J183" s="6" t="n">
        <f aca="false">(H183+I183-H182)/H182</f>
        <v>0.0199515858877005</v>
      </c>
    </row>
    <row r="184" customFormat="false" ht="12.8" hidden="false" customHeight="false" outlineLevel="0" collapsed="false">
      <c r="A184" s="5" t="s">
        <v>190</v>
      </c>
      <c r="B184" s="0" t="n">
        <v>68.0774</v>
      </c>
      <c r="C184" s="0" t="n">
        <v>0.6436</v>
      </c>
      <c r="D184" s="6" t="n">
        <f aca="false">(B184+C184-B183)/B183</f>
        <v>0.0421573191833318</v>
      </c>
      <c r="E184" s="0" t="n">
        <v>35.2947</v>
      </c>
      <c r="F184" s="0" t="n">
        <v>0</v>
      </c>
      <c r="G184" s="6" t="n">
        <f aca="false">(E184+F184-E183)/E183</f>
        <v>-0.0143925875660777</v>
      </c>
      <c r="H184" s="0" t="n">
        <v>18.9459</v>
      </c>
      <c r="I184" s="0" t="n">
        <v>0</v>
      </c>
      <c r="J184" s="6" t="n">
        <f aca="false">(H184+I184-H183)/H183</f>
        <v>0.0993965067022574</v>
      </c>
    </row>
    <row r="185" customFormat="false" ht="12.8" hidden="false" customHeight="false" outlineLevel="0" collapsed="false">
      <c r="A185" s="5" t="s">
        <v>191</v>
      </c>
      <c r="B185" s="0" t="n">
        <v>66.6259</v>
      </c>
      <c r="C185" s="0" t="n">
        <v>0</v>
      </c>
      <c r="D185" s="6" t="n">
        <f aca="false">(B185+C185-B184)/B184</f>
        <v>-0.0213213195568573</v>
      </c>
      <c r="E185" s="0" t="n">
        <v>36.0142</v>
      </c>
      <c r="F185" s="0" t="n">
        <v>0.28</v>
      </c>
      <c r="G185" s="6" t="n">
        <f aca="false">(E185+F185-E184)/E184</f>
        <v>0.0283186994081266</v>
      </c>
      <c r="H185" s="0" t="n">
        <v>20.4373</v>
      </c>
      <c r="I185" s="0" t="n">
        <v>3.29</v>
      </c>
      <c r="J185" s="6" t="n">
        <f aca="false">(H185+I185-H184)/H184</f>
        <v>0.252371225436638</v>
      </c>
    </row>
    <row r="186" customFormat="false" ht="12.8" hidden="false" customHeight="false" outlineLevel="0" collapsed="false">
      <c r="A186" s="5" t="s">
        <v>192</v>
      </c>
      <c r="B186" s="0" t="n">
        <v>64.8116</v>
      </c>
      <c r="C186" s="0" t="n">
        <v>0</v>
      </c>
      <c r="D186" s="6" t="n">
        <f aca="false">(B186+C186-B185)/B185</f>
        <v>-0.0272311518493559</v>
      </c>
      <c r="E186" s="0" t="n">
        <v>36.6827</v>
      </c>
      <c r="F186" s="0" t="n">
        <v>0</v>
      </c>
      <c r="G186" s="6" t="n">
        <f aca="false">(E186+F186-E185)/E185</f>
        <v>0.018562122718261</v>
      </c>
      <c r="H186" s="0" t="n">
        <v>21.0027</v>
      </c>
      <c r="I186" s="0" t="n">
        <v>0</v>
      </c>
      <c r="J186" s="6" t="n">
        <f aca="false">(H186+I186-H185)/H185</f>
        <v>0.0276651025331135</v>
      </c>
    </row>
    <row r="187" customFormat="false" ht="12.8" hidden="false" customHeight="false" outlineLevel="0" collapsed="false">
      <c r="A187" s="5" t="s">
        <v>193</v>
      </c>
      <c r="B187" s="0" t="n">
        <v>64.2713</v>
      </c>
      <c r="C187" s="0" t="n">
        <v>0.6436</v>
      </c>
      <c r="D187" s="6" t="n">
        <f aca="false">(B187+C187-B186)/B186</f>
        <v>0.00159385048355548</v>
      </c>
      <c r="E187" s="0" t="n">
        <v>37.9671</v>
      </c>
      <c r="F187" s="0" t="n">
        <v>0</v>
      </c>
      <c r="G187" s="6" t="n">
        <f aca="false">(E187+F187-E186)/E186</f>
        <v>0.0350137803378706</v>
      </c>
      <c r="H187" s="0" t="n">
        <v>21.6061</v>
      </c>
      <c r="I187" s="0" t="n">
        <v>0</v>
      </c>
      <c r="J187" s="6" t="n">
        <f aca="false">(H187+I187-H186)/H186</f>
        <v>0.0287296395225376</v>
      </c>
    </row>
    <row r="188" customFormat="false" ht="12.8" hidden="false" customHeight="false" outlineLevel="0" collapsed="false">
      <c r="A188" s="5" t="s">
        <v>194</v>
      </c>
      <c r="B188" s="0" t="n">
        <v>69.0842</v>
      </c>
      <c r="C188" s="0" t="n">
        <v>0</v>
      </c>
      <c r="D188" s="6" t="n">
        <f aca="false">(B188+C188-B187)/B187</f>
        <v>0.0748841240180298</v>
      </c>
      <c r="E188" s="0" t="n">
        <v>40.2108</v>
      </c>
      <c r="F188" s="0" t="n">
        <v>0.28</v>
      </c>
      <c r="G188" s="6" t="n">
        <f aca="false">(E188+F188-E187)/E187</f>
        <v>0.0664707075336277</v>
      </c>
      <c r="H188" s="0" t="n">
        <v>23.2808</v>
      </c>
      <c r="I188" s="0" t="n">
        <v>0.47</v>
      </c>
      <c r="J188" s="6" t="n">
        <f aca="false">(H188+I188-H187)/H187</f>
        <v>0.0992636338811723</v>
      </c>
    </row>
    <row r="189" customFormat="false" ht="12.8" hidden="false" customHeight="false" outlineLevel="0" collapsed="false">
      <c r="A189" s="5" t="s">
        <v>195</v>
      </c>
      <c r="B189" s="0" t="n">
        <v>69.6079</v>
      </c>
      <c r="C189" s="0" t="n">
        <v>0</v>
      </c>
      <c r="D189" s="6" t="n">
        <f aca="false">(B189+C189-B188)/B188</f>
        <v>0.00758060453765123</v>
      </c>
      <c r="E189" s="0" t="n">
        <v>41.034</v>
      </c>
      <c r="F189" s="0" t="n">
        <v>0</v>
      </c>
      <c r="G189" s="6" t="n">
        <f aca="false">(E189+F189-E188)/E188</f>
        <v>0.0204721119699185</v>
      </c>
      <c r="H189" s="0" t="n">
        <v>22.8833</v>
      </c>
      <c r="I189" s="0" t="n">
        <v>0</v>
      </c>
      <c r="J189" s="6" t="n">
        <f aca="false">(H189+I189-H188)/H188</f>
        <v>-0.0170741555273015</v>
      </c>
    </row>
    <row r="190" customFormat="false" ht="12.8" hidden="false" customHeight="false" outlineLevel="0" collapsed="false">
      <c r="A190" s="5" t="s">
        <v>196</v>
      </c>
      <c r="B190" s="0" t="n">
        <v>73.0964</v>
      </c>
      <c r="C190" s="0" t="n">
        <v>0.6436</v>
      </c>
      <c r="D190" s="6" t="n">
        <f aca="false">(B190+C190-B189)/B189</f>
        <v>0.0593625148869598</v>
      </c>
      <c r="E190" s="0" t="n">
        <v>41.5562</v>
      </c>
      <c r="F190" s="0" t="n">
        <v>0</v>
      </c>
      <c r="G190" s="6" t="n">
        <f aca="false">(E190+F190-E189)/E189</f>
        <v>0.0127260320709655</v>
      </c>
      <c r="H190" s="0" t="n">
        <v>24.53</v>
      </c>
      <c r="I190" s="0" t="n">
        <v>0</v>
      </c>
      <c r="J190" s="6" t="n">
        <f aca="false">(H190+I190-H189)/H189</f>
        <v>0.0719607748882374</v>
      </c>
    </row>
    <row r="191" customFormat="false" ht="12.8" hidden="false" customHeight="false" outlineLevel="0" collapsed="false">
      <c r="A191" s="5" t="s">
        <v>197</v>
      </c>
      <c r="B191" s="0" t="n">
        <v>75.7432</v>
      </c>
      <c r="C191" s="0" t="n">
        <v>0</v>
      </c>
      <c r="D191" s="6" t="n">
        <f aca="false">(B191+C191-B190)/B190</f>
        <v>0.0362097175784307</v>
      </c>
      <c r="E191" s="0" t="n">
        <v>42.5865</v>
      </c>
      <c r="F191" s="0" t="n">
        <v>0.31</v>
      </c>
      <c r="G191" s="6" t="n">
        <f aca="false">(E191+F191-E190)/E190</f>
        <v>0.0322527083804584</v>
      </c>
      <c r="H191" s="0" t="n">
        <v>27.1294</v>
      </c>
      <c r="I191" s="0" t="n">
        <v>0.47</v>
      </c>
      <c r="J191" s="6" t="n">
        <f aca="false">(H191+I191-H190)/H190</f>
        <v>0.12512841418671</v>
      </c>
    </row>
    <row r="192" customFormat="false" ht="12.8" hidden="false" customHeight="false" outlineLevel="0" collapsed="false">
      <c r="A192" s="5" t="s">
        <v>198</v>
      </c>
      <c r="B192" s="0" t="n">
        <v>76.296</v>
      </c>
      <c r="C192" s="0" t="n">
        <v>0</v>
      </c>
      <c r="D192" s="6" t="n">
        <f aca="false">(B192+C192-B191)/B191</f>
        <v>0.00729834493393473</v>
      </c>
      <c r="E192" s="0" t="n">
        <v>41.3751</v>
      </c>
      <c r="F192" s="0" t="n">
        <v>0</v>
      </c>
      <c r="G192" s="6" t="n">
        <f aca="false">(E192+F192-E191)/E191</f>
        <v>-0.0284456341798457</v>
      </c>
      <c r="H192" s="0" t="n">
        <v>25.179</v>
      </c>
      <c r="I192" s="0" t="n">
        <v>0</v>
      </c>
      <c r="J192" s="6" t="n">
        <f aca="false">(H192+I192-H191)/H191</f>
        <v>-0.071892485642882</v>
      </c>
    </row>
    <row r="193" customFormat="false" ht="12.8" hidden="false" customHeight="false" outlineLevel="0" collapsed="false">
      <c r="A193" s="5" t="s">
        <v>199</v>
      </c>
      <c r="B193" s="0" t="n">
        <v>71.1012</v>
      </c>
      <c r="C193" s="0" t="n">
        <v>0.6436</v>
      </c>
      <c r="D193" s="6" t="n">
        <f aca="false">(B193+C193-B192)/B192</f>
        <v>-0.0596518821432315</v>
      </c>
      <c r="E193" s="0" t="n">
        <v>35.9861</v>
      </c>
      <c r="F193" s="0" t="n">
        <v>0</v>
      </c>
      <c r="G193" s="6" t="n">
        <f aca="false">(E193+F193-E192)/E192</f>
        <v>-0.130247419341585</v>
      </c>
      <c r="H193" s="0" t="n">
        <v>26.7256</v>
      </c>
      <c r="I193" s="0" t="n">
        <v>0</v>
      </c>
      <c r="J193" s="6" t="n">
        <f aca="false">(H193+I193-H192)/H192</f>
        <v>0.0614242027086064</v>
      </c>
    </row>
    <row r="194" customFormat="false" ht="12.8" hidden="false" customHeight="false" outlineLevel="0" collapsed="false">
      <c r="A194" s="5" t="s">
        <v>200</v>
      </c>
      <c r="B194" s="0" t="n">
        <v>71.8098</v>
      </c>
      <c r="C194" s="0" t="n">
        <v>0</v>
      </c>
      <c r="D194" s="6" t="n">
        <f aca="false">(B194+C194-B193)/B193</f>
        <v>0.0099660765219151</v>
      </c>
      <c r="E194" s="0" t="n">
        <v>39.337</v>
      </c>
      <c r="F194" s="0" t="n">
        <v>0.31</v>
      </c>
      <c r="G194" s="6" t="n">
        <f aca="false">(E194+F194-E193)/E193</f>
        <v>0.101730946115306</v>
      </c>
      <c r="H194" s="0" t="n">
        <v>29.4181</v>
      </c>
      <c r="I194" s="0" t="n">
        <v>0.47</v>
      </c>
      <c r="J194" s="6" t="n">
        <f aca="false">(H194+I194-H193)/H193</f>
        <v>0.118332235758973</v>
      </c>
    </row>
    <row r="195" customFormat="false" ht="12.8" hidden="false" customHeight="false" outlineLevel="0" collapsed="false">
      <c r="A195" s="5" t="s">
        <v>201</v>
      </c>
      <c r="B195" s="0" t="n">
        <v>69.1189</v>
      </c>
      <c r="C195" s="0" t="n">
        <v>0</v>
      </c>
      <c r="D195" s="6" t="n">
        <f aca="false">(B195+C195-B194)/B194</f>
        <v>-0.0374726012327008</v>
      </c>
      <c r="E195" s="0" t="n">
        <v>36.4709</v>
      </c>
      <c r="F195" s="0" t="n">
        <v>0</v>
      </c>
      <c r="G195" s="6" t="n">
        <f aca="false">(E195+F195-E194)/E194</f>
        <v>-0.0728601571039988</v>
      </c>
      <c r="H195" s="0" t="n">
        <v>28.4952</v>
      </c>
      <c r="I195" s="0" t="n">
        <v>0</v>
      </c>
      <c r="J195" s="6" t="n">
        <f aca="false">(H195+I195-H194)/H194</f>
        <v>-0.0313718425051243</v>
      </c>
    </row>
    <row r="196" customFormat="false" ht="12.8" hidden="false" customHeight="false" outlineLevel="0" collapsed="false">
      <c r="A196" s="5" t="s">
        <v>202</v>
      </c>
      <c r="B196" s="0" t="n">
        <v>67.6184</v>
      </c>
      <c r="C196" s="0" t="n">
        <v>0.6629</v>
      </c>
      <c r="D196" s="6" t="n">
        <f aca="false">(B196+C196-B195)/B195</f>
        <v>-0.0121182484096247</v>
      </c>
      <c r="E196" s="0" t="n">
        <v>43.634</v>
      </c>
      <c r="F196" s="0" t="n">
        <v>0</v>
      </c>
      <c r="G196" s="6" t="n">
        <f aca="false">(E196+F196-E195)/E195</f>
        <v>0.196405901691486</v>
      </c>
      <c r="H196" s="0" t="n">
        <v>28.6601</v>
      </c>
      <c r="I196" s="0" t="n">
        <v>0</v>
      </c>
      <c r="J196" s="6" t="n">
        <f aca="false">(H196+I196-H195)/H195</f>
        <v>0.005786939554732</v>
      </c>
    </row>
    <row r="197" customFormat="false" ht="12.8" hidden="false" customHeight="false" outlineLevel="0" collapsed="false">
      <c r="A197" s="5" t="s">
        <v>203</v>
      </c>
      <c r="B197" s="0" t="n">
        <v>66.6659</v>
      </c>
      <c r="C197" s="0" t="n">
        <v>0</v>
      </c>
      <c r="D197" s="6" t="n">
        <f aca="false">(B197+C197-B196)/B196</f>
        <v>-0.0140864025176579</v>
      </c>
      <c r="E197" s="0" t="n">
        <v>42.3111</v>
      </c>
      <c r="F197" s="0" t="n">
        <v>0.31</v>
      </c>
      <c r="G197" s="6" t="n">
        <f aca="false">(E197+F197-E196)/E196</f>
        <v>-0.023213549067241</v>
      </c>
      <c r="H197" s="0" t="n">
        <v>29.9587</v>
      </c>
      <c r="I197" s="0" t="n">
        <v>0.52</v>
      </c>
      <c r="J197" s="6" t="n">
        <f aca="false">(H197+I197-H196)/H196</f>
        <v>0.0634540702928462</v>
      </c>
    </row>
    <row r="198" customFormat="false" ht="12.8" hidden="false" customHeight="false" outlineLevel="0" collapsed="false">
      <c r="A198" s="5" t="s">
        <v>204</v>
      </c>
      <c r="B198" s="0" t="n">
        <v>66.5383</v>
      </c>
      <c r="C198" s="0" t="n">
        <v>0</v>
      </c>
      <c r="D198" s="6" t="n">
        <f aca="false">(B198+C198-B197)/B197</f>
        <v>-0.00191402201125293</v>
      </c>
      <c r="E198" s="0" t="n">
        <v>39.8642</v>
      </c>
      <c r="F198" s="0" t="n">
        <v>0</v>
      </c>
      <c r="G198" s="6" t="n">
        <f aca="false">(E198+F198-E197)/E197</f>
        <v>-0.0578311601447376</v>
      </c>
      <c r="H198" s="0" t="n">
        <v>28.8423</v>
      </c>
      <c r="I198" s="0" t="n">
        <v>0</v>
      </c>
      <c r="J198" s="6" t="n">
        <f aca="false">(H198+I198-H197)/H197</f>
        <v>-0.0372646343132378</v>
      </c>
    </row>
    <row r="199" customFormat="false" ht="12.8" hidden="false" customHeight="false" outlineLevel="0" collapsed="false">
      <c r="A199" s="5" t="s">
        <v>205</v>
      </c>
      <c r="B199" s="0" t="n">
        <v>65.7636</v>
      </c>
      <c r="C199" s="0" t="n">
        <v>0.6629</v>
      </c>
      <c r="D199" s="6" t="n">
        <f aca="false">(B199+C199-B198)/B198</f>
        <v>-0.00168023529305703</v>
      </c>
      <c r="E199" s="0" t="n">
        <v>42.1667</v>
      </c>
      <c r="F199" s="0" t="n">
        <v>0</v>
      </c>
      <c r="G199" s="6" t="n">
        <f aca="false">(E199+F199-E198)/E198</f>
        <v>0.0577585904144571</v>
      </c>
      <c r="H199" s="0" t="n">
        <v>27.8937</v>
      </c>
      <c r="I199" s="0" t="n">
        <v>0</v>
      </c>
      <c r="J199" s="6" t="n">
        <f aca="false">(H199+I199-H198)/H198</f>
        <v>-0.032889193996318</v>
      </c>
    </row>
    <row r="200" customFormat="false" ht="12.8" hidden="false" customHeight="false" outlineLevel="0" collapsed="false">
      <c r="A200" s="5" t="s">
        <v>206</v>
      </c>
      <c r="B200" s="0" t="n">
        <v>60.5934</v>
      </c>
      <c r="C200" s="0" t="n">
        <v>0</v>
      </c>
      <c r="D200" s="6" t="n">
        <f aca="false">(B200+C200-B199)/B199</f>
        <v>-0.0786179588708646</v>
      </c>
      <c r="E200" s="0" t="n">
        <v>39.5531</v>
      </c>
      <c r="F200" s="0" t="n">
        <v>0.31</v>
      </c>
      <c r="G200" s="6" t="n">
        <f aca="false">(E200+F200-E199)/E199</f>
        <v>-0.0546307868531328</v>
      </c>
      <c r="H200" s="0" t="n">
        <v>26.047</v>
      </c>
      <c r="I200" s="0" t="n">
        <v>0.52</v>
      </c>
      <c r="J200" s="6" t="n">
        <f aca="false">(H200+I200-H199)/H199</f>
        <v>-0.0475627112932311</v>
      </c>
    </row>
    <row r="201" customFormat="false" ht="12.8" hidden="false" customHeight="false" outlineLevel="0" collapsed="false">
      <c r="A201" s="5" t="s">
        <v>207</v>
      </c>
      <c r="B201" s="0" t="n">
        <v>61.6823</v>
      </c>
      <c r="C201" s="0" t="n">
        <v>0</v>
      </c>
      <c r="D201" s="6" t="n">
        <f aca="false">(B201+C201-B200)/B200</f>
        <v>0.0179706040591879</v>
      </c>
      <c r="E201" s="0" t="n">
        <v>40.1711</v>
      </c>
      <c r="F201" s="0" t="n">
        <v>0</v>
      </c>
      <c r="G201" s="6" t="n">
        <f aca="false">(E201+F201-E200)/E200</f>
        <v>0.0156245654575748</v>
      </c>
      <c r="H201" s="0" t="n">
        <v>25.3979</v>
      </c>
      <c r="I201" s="0" t="n">
        <v>0</v>
      </c>
      <c r="J201" s="6" t="n">
        <f aca="false">(H201+I201-H200)/H200</f>
        <v>-0.0249203363151227</v>
      </c>
    </row>
    <row r="202" customFormat="false" ht="12.8" hidden="false" customHeight="false" outlineLevel="0" collapsed="false">
      <c r="A202" s="5" t="s">
        <v>208</v>
      </c>
      <c r="B202" s="0" t="n">
        <v>66.0791</v>
      </c>
      <c r="C202" s="0" t="n">
        <v>0.6629</v>
      </c>
      <c r="D202" s="6" t="n">
        <f aca="false">(B202+C202-B201)/B201</f>
        <v>0.082028393882848</v>
      </c>
      <c r="E202" s="0" t="n">
        <v>47.8418</v>
      </c>
      <c r="F202" s="0" t="n">
        <v>0</v>
      </c>
      <c r="G202" s="6" t="n">
        <f aca="false">(E202+F202-E201)/E201</f>
        <v>0.190950708345054</v>
      </c>
      <c r="H202" s="0" t="n">
        <v>27.6039</v>
      </c>
      <c r="I202" s="0" t="n">
        <v>0</v>
      </c>
      <c r="J202" s="6" t="n">
        <f aca="false">(H202+I202-H201)/H201</f>
        <v>0.0868575748388646</v>
      </c>
    </row>
    <row r="203" customFormat="false" ht="12.8" hidden="false" customHeight="false" outlineLevel="0" collapsed="false">
      <c r="A203" s="5" t="s">
        <v>209</v>
      </c>
      <c r="B203" s="0" t="n">
        <v>64.7468</v>
      </c>
      <c r="C203" s="0" t="n">
        <v>0</v>
      </c>
      <c r="D203" s="6" t="n">
        <f aca="false">(B203+C203-B202)/B202</f>
        <v>-0.020162199545696</v>
      </c>
      <c r="E203" s="0" t="n">
        <v>49.7316</v>
      </c>
      <c r="F203" s="0" t="n">
        <v>0.36</v>
      </c>
      <c r="G203" s="6" t="n">
        <f aca="false">(E203+F203-E202)/E202</f>
        <v>0.0470258226070089</v>
      </c>
      <c r="H203" s="0" t="n">
        <v>27.4442</v>
      </c>
      <c r="I203" s="0" t="n">
        <v>0.52</v>
      </c>
      <c r="J203" s="6" t="n">
        <f aca="false">(H203+I203-H202)/H202</f>
        <v>0.0130525034505993</v>
      </c>
    </row>
    <row r="204" customFormat="false" ht="12.8" hidden="false" customHeight="false" outlineLevel="0" collapsed="false">
      <c r="A204" s="5" t="s">
        <v>210</v>
      </c>
      <c r="B204" s="0" t="n">
        <v>68.7005</v>
      </c>
      <c r="C204" s="0" t="n">
        <v>0</v>
      </c>
      <c r="D204" s="6" t="n">
        <f aca="false">(B204+C204-B203)/B203</f>
        <v>0.0610640216968254</v>
      </c>
      <c r="E204" s="0" t="n">
        <v>50.7656</v>
      </c>
      <c r="F204" s="0" t="n">
        <v>0</v>
      </c>
      <c r="G204" s="6" t="n">
        <f aca="false">(E204+F204-E203)/E203</f>
        <v>0.0207916093590393</v>
      </c>
      <c r="H204" s="0" t="n">
        <v>24.4191</v>
      </c>
      <c r="I204" s="0" t="n">
        <v>0</v>
      </c>
      <c r="J204" s="6" t="n">
        <f aca="false">(H204+I204-H203)/H203</f>
        <v>-0.110227297571071</v>
      </c>
    </row>
    <row r="205" customFormat="false" ht="12.8" hidden="false" customHeight="false" outlineLevel="0" collapsed="false">
      <c r="A205" s="5" t="s">
        <v>211</v>
      </c>
      <c r="B205" s="0" t="n">
        <v>71.2908</v>
      </c>
      <c r="C205" s="0" t="n">
        <v>0.6629</v>
      </c>
      <c r="D205" s="6" t="n">
        <f aca="false">(B205+C205-B204)/B204</f>
        <v>0.0473533671516218</v>
      </c>
      <c r="E205" s="0" t="n">
        <v>50.4087</v>
      </c>
      <c r="F205" s="0" t="n">
        <v>0</v>
      </c>
      <c r="G205" s="6" t="n">
        <f aca="false">(E205+F205-E204)/E204</f>
        <v>-0.00703035126148408</v>
      </c>
      <c r="H205" s="0" t="n">
        <v>22.5818</v>
      </c>
      <c r="I205" s="0" t="n">
        <v>0</v>
      </c>
      <c r="J205" s="6" t="n">
        <f aca="false">(H205+I205-H204)/H204</f>
        <v>-0.0752402832209213</v>
      </c>
    </row>
    <row r="206" customFormat="false" ht="12.8" hidden="false" customHeight="false" outlineLevel="0" collapsed="false">
      <c r="A206" s="5" t="s">
        <v>212</v>
      </c>
      <c r="B206" s="0" t="n">
        <v>70.0691</v>
      </c>
      <c r="C206" s="0" t="n">
        <v>0</v>
      </c>
      <c r="D206" s="6" t="n">
        <f aca="false">(B206+C206-B205)/B205</f>
        <v>-0.0171368535631526</v>
      </c>
      <c r="E206" s="0" t="n">
        <v>46.8845</v>
      </c>
      <c r="F206" s="0" t="n">
        <v>0.36</v>
      </c>
      <c r="G206" s="6" t="n">
        <f aca="false">(E206+F206-E205)/E205</f>
        <v>-0.0627709105769441</v>
      </c>
      <c r="H206" s="0" t="n">
        <v>22.5517</v>
      </c>
      <c r="I206" s="0" t="n">
        <v>0.52</v>
      </c>
      <c r="J206" s="6" t="n">
        <f aca="false">(H206+I206-H205)/H205</f>
        <v>0.021694461911805</v>
      </c>
    </row>
    <row r="207" customFormat="false" ht="12.8" hidden="false" customHeight="false" outlineLevel="0" collapsed="false">
      <c r="A207" s="5" t="s">
        <v>213</v>
      </c>
      <c r="B207" s="0" t="n">
        <v>71.8319</v>
      </c>
      <c r="C207" s="0" t="n">
        <v>0</v>
      </c>
      <c r="D207" s="6" t="n">
        <f aca="false">(B207+C207-B206)/B206</f>
        <v>0.0251580225805669</v>
      </c>
      <c r="E207" s="0" t="n">
        <v>50.8929</v>
      </c>
      <c r="F207" s="0" t="n">
        <v>0</v>
      </c>
      <c r="G207" s="6" t="n">
        <f aca="false">(E207+F207-E206)/E206</f>
        <v>0.0854952063048554</v>
      </c>
      <c r="H207" s="0" t="n">
        <v>25.4205</v>
      </c>
      <c r="I207" s="0" t="n">
        <v>0</v>
      </c>
      <c r="J207" s="6" t="n">
        <f aca="false">(H207+I207-H206)/H206</f>
        <v>0.127209922090131</v>
      </c>
    </row>
    <row r="208" customFormat="false" ht="12.8" hidden="false" customHeight="false" outlineLevel="0" collapsed="false">
      <c r="A208" s="5" t="s">
        <v>214</v>
      </c>
      <c r="B208" s="0" t="n">
        <v>70.4915</v>
      </c>
      <c r="C208" s="0" t="n">
        <v>0.6695</v>
      </c>
      <c r="D208" s="6" t="n">
        <f aca="false">(B208+C208-B207)/B207</f>
        <v>-0.00933986153784047</v>
      </c>
      <c r="E208" s="0" t="n">
        <v>45.9538</v>
      </c>
      <c r="F208" s="0" t="n">
        <v>0</v>
      </c>
      <c r="G208" s="6" t="n">
        <f aca="false">(E208+F208-E207)/E207</f>
        <v>-0.0970489007307502</v>
      </c>
      <c r="H208" s="0" t="n">
        <v>21.8637</v>
      </c>
      <c r="I208" s="0" t="n">
        <v>0</v>
      </c>
      <c r="J208" s="6" t="n">
        <f aca="false">(H208+I208-H207)/H207</f>
        <v>-0.139918569658347</v>
      </c>
    </row>
    <row r="209" customFormat="false" ht="12.8" hidden="false" customHeight="false" outlineLevel="0" collapsed="false">
      <c r="A209" s="5" t="s">
        <v>215</v>
      </c>
      <c r="B209" s="0" t="n">
        <v>71.3009</v>
      </c>
      <c r="C209" s="0" t="n">
        <v>0</v>
      </c>
      <c r="D209" s="6" t="n">
        <f aca="false">(B209+C209-B208)/B208</f>
        <v>0.0114822354468269</v>
      </c>
      <c r="E209" s="0" t="n">
        <v>49.1861</v>
      </c>
      <c r="F209" s="0" t="n">
        <v>0.36</v>
      </c>
      <c r="G209" s="6" t="n">
        <f aca="false">(E209+F209-E208)/E208</f>
        <v>0.0781719901292168</v>
      </c>
      <c r="H209" s="0" t="n">
        <v>23.4335</v>
      </c>
      <c r="I209" s="0" t="n">
        <v>0.57</v>
      </c>
      <c r="J209" s="6" t="n">
        <f aca="false">(H209+I209-H208)/H208</f>
        <v>0.0978699854096058</v>
      </c>
    </row>
    <row r="210" customFormat="false" ht="12.8" hidden="false" customHeight="false" outlineLevel="0" collapsed="false">
      <c r="A210" s="5" t="s">
        <v>216</v>
      </c>
      <c r="B210" s="0" t="n">
        <v>74.4947</v>
      </c>
      <c r="C210" s="0" t="n">
        <v>0</v>
      </c>
      <c r="D210" s="6" t="n">
        <f aca="false">(B210+C210-B209)/B209</f>
        <v>0.0447932634791426</v>
      </c>
      <c r="E210" s="0" t="n">
        <v>47.4878</v>
      </c>
      <c r="F210" s="0" t="n">
        <v>0</v>
      </c>
      <c r="G210" s="6" t="n">
        <f aca="false">(E210+F210-E209)/E209</f>
        <v>-0.0345280475581517</v>
      </c>
      <c r="H210" s="0" t="n">
        <v>22.4338</v>
      </c>
      <c r="I210" s="0" t="n">
        <v>0</v>
      </c>
      <c r="J210" s="6" t="n">
        <f aca="false">(H210+I210-H209)/H209</f>
        <v>-0.042661147502507</v>
      </c>
    </row>
    <row r="211" customFormat="false" ht="12.8" hidden="false" customHeight="false" outlineLevel="0" collapsed="false">
      <c r="A211" s="5" t="s">
        <v>217</v>
      </c>
      <c r="B211" s="0" t="n">
        <v>75.895</v>
      </c>
      <c r="C211" s="0" t="n">
        <v>0.6695</v>
      </c>
      <c r="D211" s="6" t="n">
        <f aca="false">(B211+C211-B210)/B210</f>
        <v>0.0277845269529242</v>
      </c>
      <c r="E211" s="0" t="n">
        <v>52.6013</v>
      </c>
      <c r="F211" s="0" t="n">
        <v>0</v>
      </c>
      <c r="G211" s="6" t="n">
        <f aca="false">(E211+F211-E210)/E210</f>
        <v>0.107680288410918</v>
      </c>
      <c r="H211" s="0" t="n">
        <v>24.4543</v>
      </c>
      <c r="I211" s="0" t="n">
        <v>0</v>
      </c>
      <c r="J211" s="6" t="n">
        <f aca="false">(H211+I211-H210)/H210</f>
        <v>0.0900649912186076</v>
      </c>
    </row>
    <row r="212" customFormat="false" ht="12.8" hidden="false" customHeight="false" outlineLevel="0" collapsed="false">
      <c r="A212" s="5" t="s">
        <v>218</v>
      </c>
      <c r="B212" s="0" t="n">
        <v>77.4202</v>
      </c>
      <c r="C212" s="0" t="n">
        <v>0</v>
      </c>
      <c r="D212" s="6" t="n">
        <f aca="false">(B212+C212-B211)/B211</f>
        <v>0.0200961855194677</v>
      </c>
      <c r="E212" s="0" t="n">
        <v>53.6594</v>
      </c>
      <c r="F212" s="0" t="n">
        <v>0.36</v>
      </c>
      <c r="G212" s="6" t="n">
        <f aca="false">(E212+F212-E211)/E211</f>
        <v>0.0269594097484282</v>
      </c>
      <c r="H212" s="0" t="n">
        <v>25.0318</v>
      </c>
      <c r="I212" s="0" t="n">
        <v>0.57</v>
      </c>
      <c r="J212" s="6" t="n">
        <f aca="false">(H212+I212-H211)/H211</f>
        <v>0.0469242628085858</v>
      </c>
    </row>
    <row r="213" customFormat="false" ht="12.8" hidden="false" customHeight="false" outlineLevel="0" collapsed="false">
      <c r="A213" s="5" t="s">
        <v>219</v>
      </c>
      <c r="B213" s="0" t="n">
        <v>79.5838</v>
      </c>
      <c r="C213" s="0" t="n">
        <v>0</v>
      </c>
      <c r="D213" s="6" t="n">
        <f aca="false">(B213+C213-B212)/B212</f>
        <v>0.0279461949207055</v>
      </c>
      <c r="E213" s="0" t="n">
        <v>53.7901</v>
      </c>
      <c r="F213" s="0" t="n">
        <v>0</v>
      </c>
      <c r="G213" s="6" t="n">
        <f aca="false">(E213+F213-E212)/E212</f>
        <v>0.00243573353410594</v>
      </c>
      <c r="H213" s="0" t="n">
        <v>26.6715</v>
      </c>
      <c r="I213" s="0" t="n">
        <v>0</v>
      </c>
      <c r="J213" s="6" t="n">
        <f aca="false">(H213+I213-H212)/H212</f>
        <v>0.0655046780495211</v>
      </c>
    </row>
    <row r="214" customFormat="false" ht="12.8" hidden="false" customHeight="false" outlineLevel="0" collapsed="false">
      <c r="A214" s="5" t="s">
        <v>220</v>
      </c>
      <c r="B214" s="0" t="n">
        <v>77.5704</v>
      </c>
      <c r="C214" s="0" t="n">
        <v>0.6695</v>
      </c>
      <c r="D214" s="6" t="n">
        <f aca="false">(B214+C214-B213)/B213</f>
        <v>-0.016886602549765</v>
      </c>
      <c r="E214" s="0" t="n">
        <v>55.9567</v>
      </c>
      <c r="F214" s="0" t="n">
        <v>0</v>
      </c>
      <c r="G214" s="6" t="n">
        <f aca="false">(E214+F214-E213)/E213</f>
        <v>0.0402787873604993</v>
      </c>
      <c r="H214" s="0" t="n">
        <v>26.7871</v>
      </c>
      <c r="I214" s="0" t="n">
        <v>0</v>
      </c>
      <c r="J214" s="6" t="n">
        <f aca="false">(H214+I214-H213)/H213</f>
        <v>0.0043342144236356</v>
      </c>
    </row>
    <row r="215" customFormat="false" ht="12.8" hidden="false" customHeight="false" outlineLevel="0" collapsed="false">
      <c r="A215" s="5" t="s">
        <v>221</v>
      </c>
      <c r="B215" s="0" t="n">
        <v>73.6919</v>
      </c>
      <c r="C215" s="0" t="n">
        <v>0</v>
      </c>
      <c r="D215" s="6" t="n">
        <f aca="false">(B215+C215-B214)/B214</f>
        <v>-0.0499997421696936</v>
      </c>
      <c r="E215" s="0" t="n">
        <v>56.647</v>
      </c>
      <c r="F215" s="0" t="n">
        <v>0.39</v>
      </c>
      <c r="G215" s="6" t="n">
        <f aca="false">(E215+F215-E214)/E214</f>
        <v>0.0193059991028778</v>
      </c>
      <c r="H215" s="0" t="n">
        <v>26.2099</v>
      </c>
      <c r="I215" s="0" t="n">
        <v>0.57</v>
      </c>
      <c r="J215" s="6" t="n">
        <f aca="false">(H215+I215-H214)/H214</f>
        <v>-0.000268786094799266</v>
      </c>
    </row>
    <row r="216" customFormat="false" ht="12.8" hidden="false" customHeight="false" outlineLevel="0" collapsed="false">
      <c r="A216" s="5" t="s">
        <v>222</v>
      </c>
      <c r="B216" s="0" t="n">
        <v>75.1396</v>
      </c>
      <c r="C216" s="0" t="n">
        <v>0</v>
      </c>
      <c r="D216" s="6" t="n">
        <f aca="false">(B216+C216-B215)/B215</f>
        <v>0.0196453070147465</v>
      </c>
      <c r="E216" s="0" t="n">
        <v>58.4143</v>
      </c>
      <c r="F216" s="0" t="n">
        <v>0</v>
      </c>
      <c r="G216" s="6" t="n">
        <f aca="false">(E216+F216-E215)/E215</f>
        <v>0.0311984747647713</v>
      </c>
      <c r="H216" s="0" t="n">
        <v>27.4668</v>
      </c>
      <c r="I216" s="0" t="n">
        <v>0</v>
      </c>
      <c r="J216" s="6" t="n">
        <f aca="false">(H216+I216-H215)/H215</f>
        <v>0.0479551619807782</v>
      </c>
    </row>
    <row r="217" customFormat="false" ht="12.8" hidden="false" customHeight="false" outlineLevel="0" collapsed="false">
      <c r="A217" s="5" t="s">
        <v>223</v>
      </c>
      <c r="B217" s="0" t="n">
        <v>78.9025</v>
      </c>
      <c r="C217" s="0" t="n">
        <v>0.6695</v>
      </c>
      <c r="D217" s="6" t="n">
        <f aca="false">(B217+C217-B216)/B216</f>
        <v>0.0589888687190243</v>
      </c>
      <c r="E217" s="0" t="n">
        <v>60.7738</v>
      </c>
      <c r="F217" s="0" t="n">
        <v>0</v>
      </c>
      <c r="G217" s="6" t="n">
        <f aca="false">(E217+F217-E216)/E216</f>
        <v>0.0403925066293699</v>
      </c>
      <c r="H217" s="0" t="n">
        <v>28.7783</v>
      </c>
      <c r="I217" s="0" t="n">
        <v>0</v>
      </c>
      <c r="J217" s="6" t="n">
        <f aca="false">(H217+I217-H216)/H216</f>
        <v>0.047748554618667</v>
      </c>
    </row>
    <row r="218" customFormat="false" ht="12.8" hidden="false" customHeight="false" outlineLevel="0" collapsed="false">
      <c r="A218" s="5" t="s">
        <v>224</v>
      </c>
      <c r="B218" s="0" t="n">
        <v>82.0279</v>
      </c>
      <c r="C218" s="0" t="n">
        <v>0</v>
      </c>
      <c r="D218" s="6" t="n">
        <f aca="false">(B218+C218-B217)/B217</f>
        <v>0.039610912201768</v>
      </c>
      <c r="E218" s="0" t="n">
        <v>60.5072</v>
      </c>
      <c r="F218" s="0" t="n">
        <v>0.39</v>
      </c>
      <c r="G218" s="6" t="n">
        <f aca="false">(E218+F218-E217)/E217</f>
        <v>0.00203048023984014</v>
      </c>
      <c r="H218" s="0" t="n">
        <v>32.6272</v>
      </c>
      <c r="I218" s="0" t="n">
        <v>0.57</v>
      </c>
      <c r="J218" s="6" t="n">
        <f aca="false">(H218+I218-H217)/H217</f>
        <v>0.153549723228961</v>
      </c>
    </row>
    <row r="219" customFormat="false" ht="12.8" hidden="false" customHeight="false" outlineLevel="0" collapsed="false">
      <c r="A219" s="5" t="s">
        <v>225</v>
      </c>
      <c r="B219" s="0" t="n">
        <v>80.9291</v>
      </c>
      <c r="C219" s="0" t="n">
        <v>0</v>
      </c>
      <c r="D219" s="6" t="n">
        <f aca="false">(B219+C219-B218)/B218</f>
        <v>-0.0133954422824429</v>
      </c>
      <c r="E219" s="0" t="n">
        <v>62.2852</v>
      </c>
      <c r="F219" s="0" t="n">
        <v>0</v>
      </c>
      <c r="G219" s="6" t="n">
        <f aca="false">(E219+F219-E218)/E218</f>
        <v>0.029384932702224</v>
      </c>
      <c r="H219" s="0" t="n">
        <v>34.2158</v>
      </c>
      <c r="I219" s="0" t="n">
        <v>0</v>
      </c>
      <c r="J219" s="6" t="n">
        <f aca="false">(H219+I219-H218)/H218</f>
        <v>0.048689437034131</v>
      </c>
    </row>
    <row r="220" customFormat="false" ht="12.8" hidden="false" customHeight="false" outlineLevel="0" collapsed="false">
      <c r="A220" s="5" t="s">
        <v>226</v>
      </c>
      <c r="B220" s="0" t="n">
        <v>79.2647</v>
      </c>
      <c r="C220" s="0" t="n">
        <v>0.6896</v>
      </c>
      <c r="D220" s="6" t="n">
        <f aca="false">(B220+C220-B219)/B219</f>
        <v>-0.0120451110910662</v>
      </c>
      <c r="E220" s="0" t="n">
        <v>64.744</v>
      </c>
      <c r="F220" s="0" t="n">
        <v>0</v>
      </c>
      <c r="G220" s="6" t="n">
        <f aca="false">(E220+F220-E219)/E219</f>
        <v>0.039476472741518</v>
      </c>
      <c r="H220" s="0" t="n">
        <v>34.2134</v>
      </c>
      <c r="I220" s="0" t="n">
        <v>0</v>
      </c>
      <c r="J220" s="6" t="n">
        <f aca="false">(H220+I220-H219)/H219</f>
        <v>-7.01430333355208E-005</v>
      </c>
    </row>
    <row r="221" customFormat="false" ht="12.8" hidden="false" customHeight="false" outlineLevel="0" collapsed="false">
      <c r="A221" s="5" t="s">
        <v>227</v>
      </c>
      <c r="B221" s="0" t="n">
        <v>79.9545</v>
      </c>
      <c r="C221" s="0" t="n">
        <v>0</v>
      </c>
      <c r="D221" s="6" t="n">
        <f aca="false">(B221+C221-B220)/B220</f>
        <v>0.00870248673116773</v>
      </c>
      <c r="E221" s="0" t="n">
        <v>66.4202</v>
      </c>
      <c r="F221" s="0" t="n">
        <v>0.39</v>
      </c>
      <c r="G221" s="6" t="n">
        <f aca="false">(E221+F221-E220)/E220</f>
        <v>0.0319133819350055</v>
      </c>
      <c r="H221" s="0" t="n">
        <v>36.532</v>
      </c>
      <c r="I221" s="0" t="n">
        <v>0.63</v>
      </c>
      <c r="J221" s="6" t="n">
        <f aca="false">(H221+I221-H220)/H220</f>
        <v>0.0861826068148737</v>
      </c>
    </row>
    <row r="222" customFormat="false" ht="12.8" hidden="false" customHeight="false" outlineLevel="0" collapsed="false">
      <c r="A222" s="5" t="s">
        <v>228</v>
      </c>
      <c r="B222" s="0" t="n">
        <v>79.1013</v>
      </c>
      <c r="C222" s="0" t="n">
        <v>0</v>
      </c>
      <c r="D222" s="6" t="n">
        <f aca="false">(B222+C222-B221)/B221</f>
        <v>-0.0106710691705908</v>
      </c>
      <c r="E222" s="0" t="n">
        <v>65.5548</v>
      </c>
      <c r="F222" s="0" t="n">
        <v>0</v>
      </c>
      <c r="G222" s="6" t="n">
        <f aca="false">(E222+F222-E221)/E221</f>
        <v>-0.013029168837191</v>
      </c>
      <c r="H222" s="0" t="n">
        <v>34.4419</v>
      </c>
      <c r="I222" s="0" t="n">
        <v>0</v>
      </c>
      <c r="J222" s="6" t="n">
        <f aca="false">(H222+I222-H221)/H221</f>
        <v>-0.0572128544837403</v>
      </c>
    </row>
    <row r="223" customFormat="false" ht="12.8" hidden="false" customHeight="false" outlineLevel="0" collapsed="false">
      <c r="A223" s="5" t="s">
        <v>229</v>
      </c>
      <c r="B223" s="0" t="n">
        <v>83.0757</v>
      </c>
      <c r="C223" s="0" t="n">
        <v>0.6896</v>
      </c>
      <c r="D223" s="6" t="n">
        <f aca="false">(B223+C223-B222)/B222</f>
        <v>0.058962368507218</v>
      </c>
      <c r="E223" s="0" t="n">
        <v>69.1402</v>
      </c>
      <c r="F223" s="0" t="n">
        <v>0</v>
      </c>
      <c r="G223" s="6" t="n">
        <f aca="false">(E223+F223-E222)/E222</f>
        <v>0.0546931727348721</v>
      </c>
      <c r="H223" s="0" t="n">
        <v>35.5683</v>
      </c>
      <c r="I223" s="0" t="n">
        <v>0</v>
      </c>
      <c r="J223" s="6" t="n">
        <f aca="false">(H223+I223-H222)/H222</f>
        <v>0.0327043513859573</v>
      </c>
    </row>
    <row r="224" customFormat="false" ht="12.8" hidden="false" customHeight="false" outlineLevel="0" collapsed="false">
      <c r="A224" s="5" t="s">
        <v>230</v>
      </c>
      <c r="B224" s="0" t="n">
        <v>84.4021</v>
      </c>
      <c r="C224" s="0" t="n">
        <v>0</v>
      </c>
      <c r="D224" s="6" t="n">
        <f aca="false">(B224+C224-B223)/B223</f>
        <v>0.015966160983296</v>
      </c>
      <c r="E224" s="0" t="n">
        <v>71.4876</v>
      </c>
      <c r="F224" s="0" t="n">
        <v>0.39</v>
      </c>
      <c r="G224" s="6" t="n">
        <f aca="false">(E224+F224-E223)/E223</f>
        <v>0.0395920173791804</v>
      </c>
      <c r="H224" s="0" t="n">
        <v>39.3791</v>
      </c>
      <c r="I224" s="0" t="n">
        <v>0.63</v>
      </c>
      <c r="J224" s="6" t="n">
        <f aca="false">(H224+I224-H223)/H223</f>
        <v>0.124852748093105</v>
      </c>
    </row>
    <row r="225" customFormat="false" ht="12.8" hidden="false" customHeight="false" outlineLevel="0" collapsed="false">
      <c r="A225" s="5" t="s">
        <v>231</v>
      </c>
      <c r="B225" s="0" t="n">
        <v>83.2221</v>
      </c>
      <c r="C225" s="0" t="n">
        <v>0</v>
      </c>
      <c r="D225" s="6" t="n">
        <f aca="false">(B225+C225-B224)/B224</f>
        <v>-0.0139806947931391</v>
      </c>
      <c r="E225" s="0" t="n">
        <v>71.2199</v>
      </c>
      <c r="F225" s="0" t="n">
        <v>0</v>
      </c>
      <c r="G225" s="6" t="n">
        <f aca="false">(E225+F225-E224)/E224</f>
        <v>-0.00374470537547777</v>
      </c>
      <c r="H225" s="0" t="n">
        <v>37.0068</v>
      </c>
      <c r="I225" s="0" t="n">
        <v>0</v>
      </c>
      <c r="J225" s="6" t="n">
        <f aca="false">(H225+I225-H224)/H224</f>
        <v>-0.0602426160069682</v>
      </c>
    </row>
    <row r="226" customFormat="false" ht="12.8" hidden="false" customHeight="false" outlineLevel="0" collapsed="false">
      <c r="A226" s="5" t="s">
        <v>232</v>
      </c>
      <c r="B226" s="0" t="n">
        <v>79.5724</v>
      </c>
      <c r="C226" s="0" t="n">
        <v>0.6896</v>
      </c>
      <c r="D226" s="6" t="n">
        <f aca="false">(B226+C226-B225)/B225</f>
        <v>-0.0355686770701532</v>
      </c>
      <c r="E226" s="0" t="n">
        <v>79.5284</v>
      </c>
      <c r="F226" s="0" t="n">
        <v>0</v>
      </c>
      <c r="G226" s="6" t="n">
        <f aca="false">(E226+F226-E225)/E225</f>
        <v>0.116659809968843</v>
      </c>
      <c r="H226" s="0" t="n">
        <v>40.5893</v>
      </c>
      <c r="I226" s="0" t="n">
        <v>0</v>
      </c>
      <c r="J226" s="6" t="n">
        <f aca="false">(H226+I226-H225)/H225</f>
        <v>0.0968065328534216</v>
      </c>
    </row>
    <row r="227" customFormat="false" ht="12.8" hidden="false" customHeight="false" outlineLevel="0" collapsed="false">
      <c r="A227" s="5" t="s">
        <v>233</v>
      </c>
      <c r="B227" s="0" t="n">
        <v>82.9363</v>
      </c>
      <c r="C227" s="0" t="n">
        <v>0</v>
      </c>
      <c r="D227" s="6" t="n">
        <f aca="false">(B227+C227-B226)/B226</f>
        <v>0.0422747083159488</v>
      </c>
      <c r="E227" s="0" t="n">
        <v>80.8823</v>
      </c>
      <c r="F227" s="0" t="n">
        <v>0.42</v>
      </c>
      <c r="G227" s="6" t="n">
        <f aca="false">(E227+F227-E226)/E226</f>
        <v>0.0223052393861815</v>
      </c>
      <c r="H227" s="0" t="n">
        <v>41.4129</v>
      </c>
      <c r="I227" s="0" t="n">
        <v>0.63</v>
      </c>
      <c r="J227" s="6" t="n">
        <f aca="false">(H227+I227-H226)/H226</f>
        <v>0.0358123939067686</v>
      </c>
    </row>
    <row r="228" customFormat="false" ht="12.8" hidden="false" customHeight="false" outlineLevel="0" collapsed="false">
      <c r="A228" s="5" t="s">
        <v>234</v>
      </c>
      <c r="B228" s="0" t="n">
        <v>84.6782</v>
      </c>
      <c r="C228" s="0" t="n">
        <v>0</v>
      </c>
      <c r="D228" s="6" t="n">
        <f aca="false">(B228+C228-B227)/B227</f>
        <v>0.0210028660550326</v>
      </c>
      <c r="E228" s="0" t="n">
        <v>82.1988</v>
      </c>
      <c r="F228" s="0" t="n">
        <v>0</v>
      </c>
      <c r="G228" s="6" t="n">
        <f aca="false">(E228+F228-E227)/E227</f>
        <v>0.0162767379265922</v>
      </c>
      <c r="H228" s="0" t="n">
        <v>40.7815</v>
      </c>
      <c r="I228" s="0" t="n">
        <v>0</v>
      </c>
      <c r="J228" s="6" t="n">
        <f aca="false">(H228+I228-H227)/H227</f>
        <v>-0.0152464570218458</v>
      </c>
    </row>
    <row r="229" customFormat="false" ht="12.8" hidden="false" customHeight="false" outlineLevel="0" collapsed="false">
      <c r="A229" s="5" t="s">
        <v>235</v>
      </c>
      <c r="B229" s="0" t="n">
        <v>80.1809</v>
      </c>
      <c r="C229" s="0" t="n">
        <v>0.6896</v>
      </c>
      <c r="D229" s="6" t="n">
        <f aca="false">(B229+C229-B228)/B228</f>
        <v>-0.04496670925929</v>
      </c>
      <c r="E229" s="0" t="n">
        <v>91.2988</v>
      </c>
      <c r="F229" s="0" t="n">
        <v>0</v>
      </c>
      <c r="G229" s="6" t="n">
        <f aca="false">(E229+F229-E228)/E228</f>
        <v>0.110707212270739</v>
      </c>
      <c r="H229" s="0" t="n">
        <v>40.3477</v>
      </c>
      <c r="I229" s="0" t="n">
        <v>0</v>
      </c>
      <c r="J229" s="6" t="n">
        <f aca="false">(H229+I229-H228)/H228</f>
        <v>-0.0106371761705675</v>
      </c>
    </row>
    <row r="230" customFormat="false" ht="12.8" hidden="false" customHeight="false" outlineLevel="0" collapsed="false">
      <c r="A230" s="5" t="s">
        <v>236</v>
      </c>
      <c r="B230" s="0" t="n">
        <v>72.9187</v>
      </c>
      <c r="C230" s="0" t="n">
        <v>0</v>
      </c>
      <c r="D230" s="6" t="n">
        <f aca="false">(B230+C230-B229)/B229</f>
        <v>-0.0905726924990864</v>
      </c>
      <c r="E230" s="0" t="n">
        <v>90.524</v>
      </c>
      <c r="F230" s="0" t="n">
        <v>0.42</v>
      </c>
      <c r="G230" s="6" t="n">
        <f aca="false">(E230+F230-E229)/E229</f>
        <v>-0.00388614089122746</v>
      </c>
      <c r="H230" s="0" t="n">
        <v>43.0967</v>
      </c>
      <c r="I230" s="0" t="n">
        <v>0.63</v>
      </c>
      <c r="J230" s="6" t="n">
        <f aca="false">(H230+I230-H229)/H229</f>
        <v>0.0837470289508447</v>
      </c>
    </row>
    <row r="231" customFormat="false" ht="12.8" hidden="false" customHeight="false" outlineLevel="0" collapsed="false">
      <c r="A231" s="5" t="s">
        <v>237</v>
      </c>
      <c r="B231" s="0" t="n">
        <v>73.6245</v>
      </c>
      <c r="C231" s="0" t="n">
        <v>0</v>
      </c>
      <c r="D231" s="6" t="n">
        <f aca="false">(B231+C231-B230)/B230</f>
        <v>0.00967927294370301</v>
      </c>
      <c r="E231" s="0" t="n">
        <v>88.1106</v>
      </c>
      <c r="F231" s="0" t="n">
        <v>0</v>
      </c>
      <c r="G231" s="6" t="n">
        <f aca="false">(E231+F231-E230)/E230</f>
        <v>-0.0266603331713136</v>
      </c>
      <c r="H231" s="0" t="n">
        <v>40.5949</v>
      </c>
      <c r="I231" s="0" t="n">
        <v>0</v>
      </c>
      <c r="J231" s="6" t="n">
        <f aca="false">(H231+I231-H230)/H230</f>
        <v>-0.0580508484408318</v>
      </c>
    </row>
    <row r="232" customFormat="false" ht="12.8" hidden="false" customHeight="false" outlineLevel="0" collapsed="false">
      <c r="A232" s="5" t="s">
        <v>238</v>
      </c>
      <c r="B232" s="0" t="n">
        <v>67.8224</v>
      </c>
      <c r="C232" s="0" t="n">
        <v>0.7172</v>
      </c>
      <c r="D232" s="6" t="n">
        <f aca="false">(B232+C232-B231)/B231</f>
        <v>-0.0690653247220693</v>
      </c>
      <c r="E232" s="0" t="n">
        <v>90.2827</v>
      </c>
      <c r="F232" s="0" t="n">
        <v>0</v>
      </c>
      <c r="G232" s="6" t="n">
        <f aca="false">(E232+F232-E231)/E231</f>
        <v>0.0246519714994564</v>
      </c>
      <c r="H232" s="0" t="n">
        <v>39.9852</v>
      </c>
      <c r="I232" s="0" t="n">
        <v>0</v>
      </c>
      <c r="J232" s="6" t="n">
        <f aca="false">(H232+I232-H231)/H231</f>
        <v>-0.0150191280185443</v>
      </c>
    </row>
    <row r="233" customFormat="false" ht="12.8" hidden="false" customHeight="false" outlineLevel="0" collapsed="false">
      <c r="A233" s="5" t="s">
        <v>239</v>
      </c>
      <c r="B233" s="0" t="n">
        <v>68.6006</v>
      </c>
      <c r="C233" s="0" t="n">
        <v>0</v>
      </c>
      <c r="D233" s="6" t="n">
        <f aca="false">(B233+C233-B232)/B232</f>
        <v>0.0114740852579678</v>
      </c>
      <c r="E233" s="0" t="n">
        <v>95.831</v>
      </c>
      <c r="F233" s="0" t="n">
        <v>0.42</v>
      </c>
      <c r="G233" s="6" t="n">
        <f aca="false">(E233+F233-E232)/E232</f>
        <v>0.0661067956540954</v>
      </c>
      <c r="H233" s="0" t="n">
        <v>45.3888</v>
      </c>
      <c r="I233" s="0" t="n">
        <v>0.73</v>
      </c>
      <c r="J233" s="6" t="n">
        <f aca="false">(H233+I233-H232)/H232</f>
        <v>0.153396756800016</v>
      </c>
    </row>
    <row r="234" customFormat="false" ht="12.8" hidden="false" customHeight="false" outlineLevel="0" collapsed="false">
      <c r="A234" s="5" t="s">
        <v>240</v>
      </c>
      <c r="B234" s="0" t="n">
        <v>73.1852</v>
      </c>
      <c r="C234" s="0" t="n">
        <v>0</v>
      </c>
      <c r="D234" s="6" t="n">
        <f aca="false">(B234+C234-B233)/B233</f>
        <v>0.0668303192683445</v>
      </c>
      <c r="E234" s="0" t="n">
        <v>95.608</v>
      </c>
      <c r="F234" s="0" t="n">
        <v>0</v>
      </c>
      <c r="G234" s="6" t="n">
        <f aca="false">(E234+F234-E233)/E233</f>
        <v>-0.00232701317945132</v>
      </c>
      <c r="H234" s="0" t="n">
        <v>44.9613</v>
      </c>
      <c r="I234" s="0" t="n">
        <v>0</v>
      </c>
      <c r="J234" s="6" t="n">
        <f aca="false">(H234+I234-H233)/H233</f>
        <v>-0.00941862309644674</v>
      </c>
    </row>
    <row r="235" customFormat="false" ht="12.8" hidden="false" customHeight="false" outlineLevel="0" collapsed="false">
      <c r="A235" s="5" t="s">
        <v>241</v>
      </c>
      <c r="B235" s="0" t="n">
        <v>76.5199</v>
      </c>
      <c r="C235" s="0" t="n">
        <v>0.7172</v>
      </c>
      <c r="D235" s="6" t="n">
        <f aca="false">(B235+C235-B234)/B234</f>
        <v>0.055365019156879</v>
      </c>
      <c r="E235" s="0" t="n">
        <v>102.8506</v>
      </c>
      <c r="F235" s="0" t="n">
        <v>0</v>
      </c>
      <c r="G235" s="6" t="n">
        <f aca="false">(E235+F235-E234)/E234</f>
        <v>0.0757530750564806</v>
      </c>
      <c r="H235" s="0" t="n">
        <v>46.2195</v>
      </c>
      <c r="I235" s="0" t="n">
        <v>0</v>
      </c>
      <c r="J235" s="6" t="n">
        <f aca="false">(H235+I235-H234)/H234</f>
        <v>0.0279840662970153</v>
      </c>
    </row>
    <row r="236" customFormat="false" ht="12.8" hidden="false" customHeight="false" outlineLevel="0" collapsed="false">
      <c r="A236" s="5" t="s">
        <v>242</v>
      </c>
      <c r="B236" s="0" t="n">
        <v>78.4783</v>
      </c>
      <c r="C236" s="0" t="n">
        <v>0</v>
      </c>
      <c r="D236" s="6" t="n">
        <f aca="false">(B236+C236-B235)/B235</f>
        <v>0.0255933423854448</v>
      </c>
      <c r="E236" s="0" t="n">
        <v>109.3352</v>
      </c>
      <c r="F236" s="0" t="n">
        <v>0.42</v>
      </c>
      <c r="G236" s="6" t="n">
        <f aca="false">(E236+F236-E235)/E235</f>
        <v>0.0671323259173987</v>
      </c>
      <c r="H236" s="0" t="n">
        <v>55.4835</v>
      </c>
      <c r="I236" s="0" t="n">
        <v>0.73</v>
      </c>
      <c r="J236" s="6" t="n">
        <f aca="false">(H236+I236-H235)/H235</f>
        <v>0.21622908079923</v>
      </c>
    </row>
    <row r="237" customFormat="false" ht="12.8" hidden="false" customHeight="false" outlineLevel="0" collapsed="false">
      <c r="A237" s="5" t="s">
        <v>243</v>
      </c>
      <c r="B237" s="0" t="n">
        <v>78.7432</v>
      </c>
      <c r="C237" s="0" t="n">
        <v>0</v>
      </c>
      <c r="D237" s="6" t="n">
        <f aca="false">(B237+C237-B236)/B236</f>
        <v>0.00337545538065933</v>
      </c>
      <c r="E237" s="0" t="n">
        <v>111.3209</v>
      </c>
      <c r="F237" s="0" t="n">
        <v>0</v>
      </c>
      <c r="G237" s="6" t="n">
        <f aca="false">(E237+F237-E236)/E236</f>
        <v>0.0181615801681434</v>
      </c>
      <c r="H237" s="0" t="n">
        <v>55.0228</v>
      </c>
      <c r="I237" s="0" t="n">
        <v>0</v>
      </c>
      <c r="J237" s="6" t="n">
        <f aca="false">(H237+I237-H236)/H236</f>
        <v>-0.0083033694702029</v>
      </c>
    </row>
    <row r="238" customFormat="false" ht="12.8" hidden="false" customHeight="false" outlineLevel="0" collapsed="false">
      <c r="A238" s="5" t="s">
        <v>244</v>
      </c>
      <c r="B238" s="0" t="n">
        <v>84.6493</v>
      </c>
      <c r="C238" s="0" t="n">
        <v>0.7172</v>
      </c>
      <c r="D238" s="6" t="n">
        <f aca="false">(B238+C238-B237)/B237</f>
        <v>0.084112659886822</v>
      </c>
      <c r="E238" s="0" t="n">
        <v>103.9624</v>
      </c>
      <c r="F238" s="0" t="n">
        <v>0</v>
      </c>
      <c r="G238" s="6" t="n">
        <f aca="false">(E238+F238-E237)/E237</f>
        <v>-0.0661016933927052</v>
      </c>
      <c r="H238" s="0" t="n">
        <v>53.3459</v>
      </c>
      <c r="I238" s="0" t="n">
        <v>0</v>
      </c>
      <c r="J238" s="6" t="n">
        <f aca="false">(H238+I238-H237)/H237</f>
        <v>-0.0304764570323574</v>
      </c>
    </row>
    <row r="239" customFormat="false" ht="12.8" hidden="false" customHeight="false" outlineLevel="0" collapsed="false">
      <c r="A239" s="5" t="s">
        <v>245</v>
      </c>
      <c r="B239" s="0" t="n">
        <v>90.2143</v>
      </c>
      <c r="C239" s="0" t="n">
        <v>0</v>
      </c>
      <c r="D239" s="6" t="n">
        <f aca="false">(B239+C239-B238)/B238</f>
        <v>0.065741831296892</v>
      </c>
      <c r="E239" s="0" t="n">
        <v>108.4066</v>
      </c>
      <c r="F239" s="0" t="n">
        <v>0.46</v>
      </c>
      <c r="G239" s="6" t="n">
        <f aca="false">(E239+F239-E238)/E238</f>
        <v>0.0471728240209921</v>
      </c>
      <c r="H239" s="0" t="n">
        <v>43.6802</v>
      </c>
      <c r="I239" s="0" t="n">
        <v>0.73</v>
      </c>
      <c r="J239" s="6" t="n">
        <f aca="false">(H239+I239-H238)/H238</f>
        <v>-0.167504906656369</v>
      </c>
    </row>
    <row r="240" customFormat="false" ht="12.8" hidden="false" customHeight="false" outlineLevel="0" collapsed="false">
      <c r="A240" s="5" t="s">
        <v>246</v>
      </c>
      <c r="B240" s="0" t="n">
        <v>87.742</v>
      </c>
      <c r="C240" s="0" t="n">
        <v>0</v>
      </c>
      <c r="D240" s="6" t="n">
        <f aca="false">(B240+C240-B239)/B239</f>
        <v>-0.0274047462541968</v>
      </c>
      <c r="E240" s="0" t="n">
        <v>99.2953</v>
      </c>
      <c r="F240" s="0" t="n">
        <v>0</v>
      </c>
      <c r="G240" s="6" t="n">
        <f aca="false">(E240+F240-E239)/E239</f>
        <v>-0.0840474657447056</v>
      </c>
      <c r="H240" s="0" t="n">
        <v>38.5828</v>
      </c>
      <c r="I240" s="0" t="n">
        <v>0</v>
      </c>
      <c r="J240" s="6" t="n">
        <f aca="false">(H240+I240-H239)/H239</f>
        <v>-0.116698183616375</v>
      </c>
    </row>
    <row r="241" customFormat="false" ht="12.8" hidden="false" customHeight="false" outlineLevel="0" collapsed="false">
      <c r="A241" s="5" t="s">
        <v>247</v>
      </c>
      <c r="B241" s="0" t="n">
        <v>92.8139</v>
      </c>
      <c r="C241" s="0" t="n">
        <v>0.7172</v>
      </c>
      <c r="D241" s="6" t="n">
        <f aca="false">(B241+C241-B240)/B240</f>
        <v>0.0659786647215701</v>
      </c>
      <c r="E241" s="0" t="n">
        <v>102.0913</v>
      </c>
      <c r="F241" s="0" t="n">
        <v>0</v>
      </c>
      <c r="G241" s="6" t="n">
        <f aca="false">(E241+F241-E240)/E240</f>
        <v>0.0281584324736418</v>
      </c>
      <c r="H241" s="0" t="n">
        <v>40.7108</v>
      </c>
      <c r="I241" s="0" t="n">
        <v>0</v>
      </c>
      <c r="J241" s="6" t="n">
        <f aca="false">(H241+I241-H240)/H240</f>
        <v>0.0551541101216086</v>
      </c>
    </row>
    <row r="242" customFormat="false" ht="12.8" hidden="false" customHeight="false" outlineLevel="0" collapsed="false">
      <c r="A242" s="5" t="s">
        <v>248</v>
      </c>
      <c r="B242" s="0" t="n">
        <v>94.815</v>
      </c>
      <c r="C242" s="0" t="n">
        <v>0</v>
      </c>
      <c r="D242" s="6" t="n">
        <f aca="false">(B242+C242-B241)/B241</f>
        <v>0.0215603481806065</v>
      </c>
      <c r="E242" s="0" t="n">
        <v>109.9913</v>
      </c>
      <c r="F242" s="0" t="n">
        <v>0.46</v>
      </c>
      <c r="G242" s="6" t="n">
        <f aca="false">(E242+F242-E241)/E241</f>
        <v>0.081887486984689</v>
      </c>
      <c r="H242" s="0" t="n">
        <v>42.5335</v>
      </c>
      <c r="I242" s="0" t="n">
        <v>0.73</v>
      </c>
      <c r="J242" s="6" t="n">
        <f aca="false">(H242+I242-H241)/H241</f>
        <v>0.062703263016202</v>
      </c>
    </row>
    <row r="243" customFormat="false" ht="12.8" hidden="false" customHeight="false" outlineLevel="0" collapsed="false">
      <c r="A243" s="5" t="s">
        <v>249</v>
      </c>
      <c r="B243" s="0" t="n">
        <v>100.1066</v>
      </c>
      <c r="C243" s="0" t="n">
        <v>0</v>
      </c>
      <c r="D243" s="6" t="n">
        <f aca="false">(B243+C243-B242)/B242</f>
        <v>0.0558097347466118</v>
      </c>
      <c r="E243" s="0" t="n">
        <v>115.7937</v>
      </c>
      <c r="F243" s="0" t="n">
        <v>0</v>
      </c>
      <c r="G243" s="6" t="n">
        <f aca="false">(E243+F243-E242)/E242</f>
        <v>0.052753263212636</v>
      </c>
      <c r="H243" s="0" t="n">
        <v>46.6603</v>
      </c>
      <c r="I243" s="0" t="n">
        <v>0</v>
      </c>
      <c r="J243" s="6" t="n">
        <f aca="false">(H243+I243-H242)/H242</f>
        <v>0.0970246981790825</v>
      </c>
    </row>
    <row r="244" customFormat="false" ht="12.8" hidden="false" customHeight="false" outlineLevel="0" collapsed="false">
      <c r="A244" s="5" t="s">
        <v>250</v>
      </c>
      <c r="B244" s="0" t="n">
        <v>103.1664</v>
      </c>
      <c r="C244" s="0" t="n">
        <v>0.7459</v>
      </c>
      <c r="D244" s="6" t="n">
        <f aca="false">(B244+C244-B243)/B243</f>
        <v>0.0380164744382488</v>
      </c>
      <c r="E244" s="0" t="n">
        <v>128.2233</v>
      </c>
      <c r="F244" s="0" t="n">
        <v>0</v>
      </c>
      <c r="G244" s="6" t="n">
        <f aca="false">(E244+F244-E243)/E243</f>
        <v>0.107342627448644</v>
      </c>
      <c r="H244" s="0" t="n">
        <v>49.2937</v>
      </c>
      <c r="I244" s="0" t="n">
        <v>0</v>
      </c>
      <c r="J244" s="6" t="n">
        <f aca="false">(H244+I244-H243)/H243</f>
        <v>0.0564376997147468</v>
      </c>
    </row>
    <row r="245" customFormat="false" ht="12.8" hidden="false" customHeight="false" outlineLevel="0" collapsed="false">
      <c r="A245" s="5" t="s">
        <v>251</v>
      </c>
      <c r="B245" s="0" t="n">
        <v>99.7075</v>
      </c>
      <c r="C245" s="0" t="n">
        <v>0</v>
      </c>
      <c r="D245" s="6" t="n">
        <f aca="false">(B245+C245-B244)/B244</f>
        <v>-0.0335273887622327</v>
      </c>
      <c r="E245" s="0" t="n">
        <v>121.8725</v>
      </c>
      <c r="F245" s="0" t="n">
        <v>0.46</v>
      </c>
      <c r="G245" s="6" t="n">
        <f aca="false">(E245+F245-E244)/E244</f>
        <v>-0.0459417282194422</v>
      </c>
      <c r="H245" s="0" t="n">
        <v>43.1731</v>
      </c>
      <c r="I245" s="0" t="n">
        <v>0.77</v>
      </c>
      <c r="J245" s="6" t="n">
        <f aca="false">(H245+I245-H244)/H244</f>
        <v>-0.108545311064091</v>
      </c>
    </row>
    <row r="246" customFormat="false" ht="12.8" hidden="false" customHeight="false" outlineLevel="0" collapsed="false">
      <c r="A246" s="5" t="s">
        <v>252</v>
      </c>
      <c r="B246" s="0" t="n">
        <v>106.2378</v>
      </c>
      <c r="C246" s="0" t="n">
        <v>0</v>
      </c>
      <c r="D246" s="6" t="n">
        <f aca="false">(B246+C246-B245)/B245</f>
        <v>0.0654945716219943</v>
      </c>
      <c r="E246" s="0" t="n">
        <v>132.0023</v>
      </c>
      <c r="F246" s="0" t="n">
        <v>0</v>
      </c>
      <c r="G246" s="6" t="n">
        <f aca="false">(E246+F246-E245)/E245</f>
        <v>0.083118012677183</v>
      </c>
      <c r="H246" s="0" t="n">
        <v>48.808</v>
      </c>
      <c r="I246" s="0" t="n">
        <v>0</v>
      </c>
      <c r="J246" s="6" t="n">
        <f aca="false">(H246+I246-H245)/H245</f>
        <v>0.130518772105779</v>
      </c>
    </row>
    <row r="247" customFormat="false" ht="12.8" hidden="false" customHeight="false" outlineLevel="0" collapsed="false">
      <c r="A247" s="5" t="s">
        <v>253</v>
      </c>
      <c r="B247" s="0" t="n">
        <v>115.1056</v>
      </c>
      <c r="C247" s="0" t="n">
        <v>0.7459</v>
      </c>
      <c r="D247" s="6" t="n">
        <f aca="false">(B247+C247-B246)/B246</f>
        <v>0.0904922729951111</v>
      </c>
      <c r="E247" s="0" t="n">
        <v>134.2785</v>
      </c>
      <c r="F247" s="0" t="n">
        <v>0</v>
      </c>
      <c r="G247" s="6" t="n">
        <f aca="false">(E247+F247-E246)/E246</f>
        <v>0.0172436389365944</v>
      </c>
      <c r="H247" s="0" t="n">
        <v>52.5367</v>
      </c>
      <c r="I247" s="0" t="n">
        <v>0</v>
      </c>
      <c r="J247" s="6" t="n">
        <f aca="false">(H247+I247-H246)/H246</f>
        <v>0.0763952630716277</v>
      </c>
    </row>
    <row r="248" customFormat="false" ht="12.8" hidden="false" customHeight="false" outlineLevel="0" collapsed="false">
      <c r="A248" s="5" t="s">
        <v>254</v>
      </c>
      <c r="B248" s="0" t="n">
        <v>117.2412</v>
      </c>
      <c r="C248" s="0" t="n">
        <v>0</v>
      </c>
      <c r="D248" s="6" t="n">
        <f aca="false">(B248+C248-B247)/B247</f>
        <v>0.0185533979232984</v>
      </c>
      <c r="E248" s="0" t="n">
        <v>136.3117</v>
      </c>
      <c r="F248" s="0" t="n">
        <v>0.46</v>
      </c>
      <c r="G248" s="6" t="n">
        <f aca="false">(E248+F248-E247)/E247</f>
        <v>0.018567380481611</v>
      </c>
      <c r="H248" s="0" t="n">
        <v>51.6735</v>
      </c>
      <c r="I248" s="0" t="n">
        <v>0.77</v>
      </c>
      <c r="J248" s="6" t="n">
        <f aca="false">(H248+I248-H247)/H247</f>
        <v>-0.00177399798616973</v>
      </c>
    </row>
    <row r="249" customFormat="false" ht="12.8" hidden="false" customHeight="false" outlineLevel="0" collapsed="false">
      <c r="A249" s="5" t="s">
        <v>255</v>
      </c>
      <c r="B249" s="0" t="n">
        <v>121.288</v>
      </c>
      <c r="C249" s="0" t="n">
        <v>0</v>
      </c>
      <c r="D249" s="6" t="n">
        <f aca="false">(B249+C249-B248)/B248</f>
        <v>0.0345168763199284</v>
      </c>
      <c r="E249" s="0" t="n">
        <v>137.4685</v>
      </c>
      <c r="F249" s="0" t="n">
        <v>0</v>
      </c>
      <c r="G249" s="6" t="n">
        <f aca="false">(E249+F249-E248)/E248</f>
        <v>0.00848643219914361</v>
      </c>
      <c r="H249" s="0" t="n">
        <v>55.4436</v>
      </c>
      <c r="I249" s="0" t="n">
        <v>0</v>
      </c>
      <c r="J249" s="6" t="n">
        <f aca="false">(H249+I249-H248)/H248</f>
        <v>0.0729600278672822</v>
      </c>
    </row>
    <row r="250" customFormat="false" ht="12.8" hidden="false" customHeight="false" outlineLevel="0" collapsed="false">
      <c r="A250" s="5" t="s">
        <v>256</v>
      </c>
      <c r="B250" s="0" t="n">
        <v>122.1913</v>
      </c>
      <c r="C250" s="0" t="n">
        <v>0.7459</v>
      </c>
      <c r="D250" s="6" t="n">
        <f aca="false">(B250+C250-B249)/B249</f>
        <v>0.0135973880350901</v>
      </c>
      <c r="E250" s="0" t="n">
        <v>141.7598</v>
      </c>
      <c r="F250" s="0" t="n">
        <v>0</v>
      </c>
      <c r="G250" s="6" t="n">
        <f aca="false">(E250+F250-E249)/E249</f>
        <v>0.0312166059860987</v>
      </c>
      <c r="H250" s="0" t="n">
        <v>61.5804</v>
      </c>
      <c r="I250" s="0" t="n">
        <v>0</v>
      </c>
      <c r="J250" s="6" t="n">
        <f aca="false">(H250+I250-H249)/H249</f>
        <v>0.110685453325542</v>
      </c>
    </row>
    <row r="251" customFormat="false" ht="12.8" hidden="false" customHeight="false" outlineLevel="0" collapsed="false">
      <c r="A251" s="5" t="s">
        <v>257</v>
      </c>
      <c r="B251" s="0" t="n">
        <v>119.7869</v>
      </c>
      <c r="C251" s="0" t="n">
        <v>0</v>
      </c>
      <c r="D251" s="6" t="n">
        <f aca="false">(B251+C251-B250)/B250</f>
        <v>-0.0196773420038906</v>
      </c>
      <c r="E251" s="0" t="n">
        <v>150.19</v>
      </c>
      <c r="F251" s="0" t="n">
        <v>0.51</v>
      </c>
      <c r="G251" s="6" t="n">
        <f aca="false">(E251+F251-E250)/E250</f>
        <v>0.0630658338964923</v>
      </c>
      <c r="H251" s="0" t="n">
        <v>66.3539</v>
      </c>
      <c r="I251" s="0" t="n">
        <v>0.77</v>
      </c>
      <c r="J251" s="6" t="n">
        <f aca="false">(H251+I251-H250)/H250</f>
        <v>0.0900205260115231</v>
      </c>
    </row>
    <row r="252" customFormat="false" ht="12.8" hidden="false" customHeight="false" outlineLevel="0" collapsed="false">
      <c r="A252" s="5" t="s">
        <v>258</v>
      </c>
      <c r="B252" s="0" t="n">
        <v>122.574</v>
      </c>
      <c r="C252" s="0" t="n">
        <v>0</v>
      </c>
      <c r="D252" s="6" t="n">
        <f aca="false">(B252+C252-B251)/B251</f>
        <v>0.0232671519172797</v>
      </c>
      <c r="E252" s="0" t="n">
        <v>156.4604</v>
      </c>
      <c r="F252" s="0" t="n">
        <v>0</v>
      </c>
      <c r="G252" s="6" t="n">
        <f aca="false">(E252+F252-E251)/E251</f>
        <v>0.0417497836074306</v>
      </c>
      <c r="H252" s="0" t="n">
        <v>72.9086</v>
      </c>
      <c r="I252" s="0" t="n">
        <v>0</v>
      </c>
      <c r="J252" s="6" t="n">
        <f aca="false">(H252+I252-H251)/H251</f>
        <v>0.0987839448773925</v>
      </c>
    </row>
    <row r="253" customFormat="false" ht="12.8" hidden="false" customHeight="false" outlineLevel="0" collapsed="false">
      <c r="A253" s="5" t="s">
        <v>259</v>
      </c>
      <c r="B253" s="0" t="n">
        <v>123.0291</v>
      </c>
      <c r="C253" s="0" t="n">
        <v>0.7459</v>
      </c>
      <c r="D253" s="6" t="n">
        <f aca="false">(B253+C253-B252)/B252</f>
        <v>0.00979816274250663</v>
      </c>
      <c r="E253" s="0" t="n">
        <v>168.8919</v>
      </c>
      <c r="F253" s="0" t="n">
        <v>0</v>
      </c>
      <c r="G253" s="6" t="n">
        <f aca="false">(E253+F253-E252)/E252</f>
        <v>0.0794546096008958</v>
      </c>
      <c r="H253" s="0" t="n">
        <v>76.8464</v>
      </c>
      <c r="I253" s="0" t="n">
        <v>0</v>
      </c>
      <c r="J253" s="6" t="n">
        <f aca="false">(H253+I253-H252)/H252</f>
        <v>0.0540100893447412</v>
      </c>
    </row>
    <row r="254" customFormat="false" ht="12.8" hidden="false" customHeight="false" outlineLevel="0" collapsed="false">
      <c r="A254" s="5" t="s">
        <v>260</v>
      </c>
      <c r="B254" s="0" t="n">
        <v>111.7845</v>
      </c>
      <c r="C254" s="0" t="n">
        <v>0</v>
      </c>
      <c r="D254" s="6" t="n">
        <f aca="false">(B254+C254-B253)/B253</f>
        <v>-0.0913978887921638</v>
      </c>
      <c r="E254" s="0" t="n">
        <v>161.1742</v>
      </c>
      <c r="F254" s="0" t="n">
        <v>0.51</v>
      </c>
      <c r="G254" s="6" t="n">
        <f aca="false">(E254+F254-E253)/E253</f>
        <v>-0.0426764101771606</v>
      </c>
      <c r="H254" s="0" t="n">
        <v>68.0343</v>
      </c>
      <c r="I254" s="0" t="n">
        <v>0.77</v>
      </c>
      <c r="J254" s="6" t="n">
        <f aca="false">(H254+I254-H253)/H253</f>
        <v>-0.104651616731558</v>
      </c>
    </row>
    <row r="255" customFormat="false" ht="12.8" hidden="false" customHeight="false" outlineLevel="0" collapsed="false">
      <c r="A255" s="5" t="s">
        <v>261</v>
      </c>
      <c r="B255" s="0" t="n">
        <v>108.5957</v>
      </c>
      <c r="C255" s="0" t="n">
        <v>0</v>
      </c>
      <c r="D255" s="6" t="n">
        <f aca="false">(B255+C255-B254)/B254</f>
        <v>-0.0285263162603044</v>
      </c>
      <c r="E255" s="0" t="n">
        <v>156.8964</v>
      </c>
      <c r="F255" s="0" t="n">
        <v>0</v>
      </c>
      <c r="G255" s="6" t="n">
        <f aca="false">(E255+F255-E254)/E254</f>
        <v>-0.0265414687958744</v>
      </c>
      <c r="H255" s="0" t="n">
        <v>63.2881</v>
      </c>
      <c r="I255" s="0" t="n">
        <v>0</v>
      </c>
      <c r="J255" s="6" t="n">
        <f aca="false">(H255+I255-H254)/H254</f>
        <v>-0.0697618701155153</v>
      </c>
    </row>
    <row r="256" customFormat="false" ht="12.8" hidden="false" customHeight="false" outlineLevel="0" collapsed="false">
      <c r="A256" s="5" t="s">
        <v>262</v>
      </c>
      <c r="B256" s="0" t="n">
        <v>117.1359</v>
      </c>
      <c r="C256" s="0" t="n">
        <v>0.7907</v>
      </c>
      <c r="D256" s="6" t="n">
        <f aca="false">(B256+C256-B255)/B255</f>
        <v>0.0859232916220441</v>
      </c>
      <c r="E256" s="0" t="n">
        <v>178.2855</v>
      </c>
      <c r="F256" s="0" t="n">
        <v>0</v>
      </c>
      <c r="G256" s="6" t="n">
        <f aca="false">(E256+F256-E255)/E255</f>
        <v>0.136326263700123</v>
      </c>
      <c r="H256" s="0" t="n">
        <v>73.1214</v>
      </c>
      <c r="I256" s="0" t="n">
        <v>0</v>
      </c>
      <c r="J256" s="6" t="n">
        <f aca="false">(H256+I256-H255)/H255</f>
        <v>0.155373601040322</v>
      </c>
    </row>
    <row r="257" customFormat="false" ht="12.8" hidden="false" customHeight="false" outlineLevel="0" collapsed="false">
      <c r="A257" s="5" t="s">
        <v>263</v>
      </c>
      <c r="B257" s="0" t="n">
        <v>115.198</v>
      </c>
      <c r="C257" s="0" t="n">
        <v>0</v>
      </c>
      <c r="D257" s="6" t="n">
        <f aca="false">(B257+C257-B256)/B256</f>
        <v>-0.016544031334544</v>
      </c>
      <c r="E257" s="0" t="n">
        <v>182.8054</v>
      </c>
      <c r="F257" s="0" t="n">
        <v>0.51</v>
      </c>
      <c r="G257" s="6" t="n">
        <f aca="false">(E257+F257-E256)/E256</f>
        <v>0.0282126140375968</v>
      </c>
      <c r="H257" s="0" t="n">
        <v>79.3386</v>
      </c>
      <c r="I257" s="0" t="n">
        <v>0.82</v>
      </c>
      <c r="J257" s="6" t="n">
        <f aca="false">(H257+I257-H256)/H256</f>
        <v>0.0962399516420637</v>
      </c>
    </row>
    <row r="258" customFormat="false" ht="12.8" hidden="false" customHeight="false" outlineLevel="0" collapsed="false">
      <c r="A258" s="5" t="s">
        <v>264</v>
      </c>
      <c r="B258" s="0" t="n">
        <v>118.8253</v>
      </c>
      <c r="C258" s="0" t="n">
        <v>0</v>
      </c>
      <c r="D258" s="6" t="n">
        <f aca="false">(B258+C258-B257)/B257</f>
        <v>0.0314875258251012</v>
      </c>
      <c r="E258" s="0" t="n">
        <v>203.0163</v>
      </c>
      <c r="F258" s="0" t="n">
        <v>0</v>
      </c>
      <c r="G258" s="6" t="n">
        <f aca="false">(E258+F258-E257)/E257</f>
        <v>0.110559644299348</v>
      </c>
      <c r="H258" s="0" t="n">
        <v>91.032</v>
      </c>
      <c r="I258" s="0" t="n">
        <v>0</v>
      </c>
      <c r="J258" s="6" t="n">
        <f aca="false">(H258+I258-H257)/H257</f>
        <v>0.147386013869667</v>
      </c>
    </row>
    <row r="259" customFormat="false" ht="12.8" hidden="false" customHeight="false" outlineLevel="0" collapsed="false">
      <c r="A259" s="5" t="s">
        <v>265</v>
      </c>
      <c r="B259" s="0" t="n">
        <v>131.12</v>
      </c>
      <c r="C259" s="0" t="n">
        <v>0.7907</v>
      </c>
      <c r="D259" s="6" t="n">
        <f aca="false">(B259+C259-B258)/B258</f>
        <v>0.110123012523427</v>
      </c>
      <c r="E259" s="0" t="n">
        <v>204.5126</v>
      </c>
      <c r="F259" s="0" t="n">
        <v>0</v>
      </c>
      <c r="G259" s="6" t="n">
        <f aca="false">(E259+F259-E258)/E258</f>
        <v>0.00737034415463187</v>
      </c>
      <c r="H259" s="0" t="n">
        <v>106.0643</v>
      </c>
      <c r="I259" s="0" t="n">
        <v>0</v>
      </c>
      <c r="J259" s="6" t="n">
        <f aca="false">(H259+I259-H258)/H258</f>
        <v>0.165132041479919</v>
      </c>
    </row>
    <row r="260" customFormat="false" ht="12.8" hidden="false" customHeight="false" outlineLevel="0" collapsed="false">
      <c r="A260" s="5" t="s">
        <v>266</v>
      </c>
      <c r="B260" s="0" t="n">
        <v>138.33</v>
      </c>
      <c r="C260" s="0" t="n">
        <v>0</v>
      </c>
      <c r="D260" s="6" t="n">
        <f aca="false">(B260+C260-B259)/B259</f>
        <v>0.0549877974374619</v>
      </c>
      <c r="E260" s="0" t="n">
        <v>225.53</v>
      </c>
      <c r="F260" s="0" t="n">
        <v>0.51</v>
      </c>
      <c r="G260" s="6" t="n">
        <f aca="false">(E260+F260-E259)/E259</f>
        <v>0.105261974078859</v>
      </c>
      <c r="H260" s="0" t="n">
        <v>129.04</v>
      </c>
      <c r="I260" s="0" t="n">
        <v>0.82</v>
      </c>
      <c r="J260" s="6" t="n">
        <f aca="false">(H260+I260-H259)/H259</f>
        <v>0.224351643295623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LibreOffice/6.1.5.2$Linux_X86_64 LibreOffice_project/10$Build-2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2020-09-14T11:09:12Z</dcterms:modified>
  <cp:revision>5</cp:revision>
  <dc:subject/>
  <dc:title/>
</cp:coreProperties>
</file>