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ration Probs" sheetId="1" state="visible" r:id="rId2"/>
  </sheets>
  <definedNames>
    <definedName function="false" hidden="false" localSheetId="0" name="_xlnm.Print_Area" vbProcedure="false">#REF!</definedName>
    <definedName function="false" hidden="false" localSheetId="0" name="_xlnm.Sheet_Title" vbProcedure="false">"Sheet1"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<sst xmlns="http://schemas.openxmlformats.org/spreadsheetml/2006/main" count="17" uniqueCount="17">
  <si>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Portfolio Duration</t>
  </si>
  <si>
    <t xml:space="preserve">Description</t>
  </si>
  <si>
    <t xml:space="preserve">Term (yr)</t>
  </si>
  <si>
    <t xml:space="preserve">Coupon (%)</t>
  </si>
  <si>
    <t xml:space="preserve">Yield (%)</t>
  </si>
  <si>
    <t xml:space="preserve">Value (V1, V2, ... )</t>
  </si>
  <si>
    <t xml:space="preserve">Duration (D1, D2, ... )</t>
  </si>
  <si>
    <t xml:space="preserve">T-Note</t>
  </si>
  <si>
    <t xml:space="preserve">Zero Coupon Bond</t>
  </si>
  <si>
    <t xml:space="preserve">Portfolio</t>
  </si>
  <si>
    <t xml:space="preserve">T-Note Calculation</t>
  </si>
  <si>
    <t xml:space="preserve">NPER</t>
  </si>
  <si>
    <t xml:space="preserve">Weight</t>
  </si>
  <si>
    <t xml:space="preserve">Intermediate</t>
  </si>
  <si>
    <t xml:space="preserve">F</t>
  </si>
  <si>
    <t xml:space="preserve">P</t>
  </si>
  <si>
    <t xml:space="preserve">Duration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</si>
</sst>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000"/>
    <numFmt numFmtId="167" formatCode="0.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Sans"/>
      <family val="0"/>
      <charset val="1"/>
    </font>
    <font>
      <b val="true"/>
      <sz val="10"/>
      <color rgb="FF000000"/>
      <name val="Sans"/>
      <family val="0"/>
      <charset val="1"/>
    </font>
    <font>
      <i val="true"/>
      <sz val="10"/>
      <color rgb="FF000000"/>
      <name val="Sans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16" activeCellId="0" sqref="D16"/>
    </sheetView>
  </sheetViews>
  <sheetFormatPr defaultRowHeight="12.75" zeroHeight="false" outlineLevelRow="0" outlineLevelCol="0"/>
  <cols>
    <col collapsed="false" customWidth="true" hidden="false" outlineLevel="0" max="1" min="1" style="1" width="20.94"/>
    <col collapsed="false" customWidth="true" hidden="false" outlineLevel="0" max="4" min="2" style="1" width="15.65"/>
    <col collapsed="false" customWidth="true" hidden="false" outlineLevel="0" max="6" min="5" style="1" width="20.94"/>
    <col collapsed="false" customWidth="true" hidden="false" outlineLevel="0" max="256" min="7" style="1" width="10.45"/>
    <col collapsed="false" customWidth="true" hidden="false" outlineLevel="0" max="1025" min="257" style="0" width="9.82"/>
  </cols>
  <sheetData>
    <row r="1" customFormat="false" ht="12.7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3.9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3.95" hidden="false" customHeight="false" outlineLevel="0" collapsed="false">
      <c r="A3" s="1" t="s">
        <v>7</v>
      </c>
      <c r="B3" s="1" t="n">
        <v>2</v>
      </c>
      <c r="C3" s="4" t="n">
        <v>0.045</v>
      </c>
      <c r="D3" s="4" t="n">
        <v>0.0142</v>
      </c>
      <c r="E3" s="1" t="n">
        <v>1000</v>
      </c>
      <c r="F3" s="5" t="n">
        <f aca="false">C14</f>
        <v>1.93709731907559</v>
      </c>
    </row>
    <row r="4" customFormat="false" ht="13.95" hidden="false" customHeight="false" outlineLevel="0" collapsed="false">
      <c r="A4" s="6" t="s">
        <v>8</v>
      </c>
      <c r="B4" s="6" t="n">
        <v>4</v>
      </c>
      <c r="C4" s="7" t="n">
        <v>0</v>
      </c>
      <c r="D4" s="7" t="n">
        <v>0.04</v>
      </c>
      <c r="E4" s="6" t="n">
        <v>0</v>
      </c>
      <c r="F4" s="6" t="n">
        <v>4</v>
      </c>
    </row>
    <row r="5" customFormat="false" ht="13.95" hidden="false" customHeight="false" outlineLevel="0" collapsed="false">
      <c r="A5" s="1" t="s">
        <v>9</v>
      </c>
      <c r="E5" s="1" t="n">
        <f aca="false">SUM(E3:E4)</f>
        <v>1000</v>
      </c>
      <c r="F5" s="8" t="n">
        <f aca="false">(E3/$E$5)*F3+(E4/$E$5)*F4</f>
        <v>1.93709731907559</v>
      </c>
    </row>
    <row r="7" customFormat="false" ht="13.95" hidden="false" customHeight="false" outlineLevel="0" collapsed="false">
      <c r="A7" s="2" t="s">
        <v>10</v>
      </c>
      <c r="B7" s="2"/>
      <c r="C7" s="2"/>
      <c r="D7" s="2"/>
      <c r="E7" s="2"/>
      <c r="F7" s="2"/>
    </row>
    <row r="8" customFormat="false" ht="13.95" hidden="false" customHeight="false" outlineLevel="0" collapsed="false">
      <c r="A8" s="3" t="s">
        <v>11</v>
      </c>
      <c r="B8" s="3" t="s">
        <v>12</v>
      </c>
      <c r="C8" s="3" t="s">
        <v>13</v>
      </c>
      <c r="D8" s="9" t="s">
        <v>14</v>
      </c>
      <c r="E8" s="8" t="n">
        <v>1000</v>
      </c>
    </row>
    <row r="9" customFormat="false" ht="13.95" hidden="false" customHeight="false" outlineLevel="0" collapsed="false">
      <c r="A9" s="1" t="n">
        <v>1</v>
      </c>
      <c r="B9" s="8" t="n">
        <f aca="false">-PV($D$3/2,A9,0,$E$8/$E$9)</f>
        <v>0.936284315620431</v>
      </c>
      <c r="C9" s="5" t="n">
        <f aca="false">(A9/2)*($C$3/2)*B9</f>
        <v>0.0105331985507298</v>
      </c>
      <c r="D9" s="9" t="s">
        <v>15</v>
      </c>
      <c r="E9" s="8" t="n">
        <f aca="false">-PV(D3/2,B3*2,C3*E8/2,E8)</f>
        <v>1060.52193553437</v>
      </c>
    </row>
    <row r="10" customFormat="false" ht="12.8" hidden="false" customHeight="false" outlineLevel="0" collapsed="false">
      <c r="A10" s="1" t="n">
        <v>2</v>
      </c>
      <c r="B10" s="8" t="n">
        <f aca="false">-PV($D$3/2,A10,0,$E$8/$E$9)</f>
        <v>0.929683562327903</v>
      </c>
      <c r="C10" s="5" t="n">
        <f aca="false">(A10/2)*($C$3/2)*B10</f>
        <v>0.0209178801523778</v>
      </c>
    </row>
    <row r="11" customFormat="false" ht="13.95" hidden="false" customHeight="false" outlineLevel="0" collapsed="false">
      <c r="A11" s="1" t="n">
        <v>3</v>
      </c>
      <c r="B11" s="8" t="n">
        <f aca="false">-PV($D$3/2,A11,0,$E$8/$E$9)</f>
        <v>0.923129343985605</v>
      </c>
      <c r="C11" s="5" t="n">
        <f aca="false">(A11/2)*($C$3/2)*B11</f>
        <v>0.0311556153595142</v>
      </c>
    </row>
    <row r="12" customFormat="false" ht="12.8" hidden="false" customHeight="false" outlineLevel="0" collapsed="false">
      <c r="A12" s="1" t="n">
        <v>4</v>
      </c>
      <c r="B12" s="8" t="n">
        <f aca="false">-PV($D$3/2,A12,0,$E$8/$E$9)</f>
        <v>0.91662133252468</v>
      </c>
      <c r="C12" s="5" t="n">
        <f aca="false">(A12/2)*($C$3/2)*B12</f>
        <v>0.0412479599636106</v>
      </c>
    </row>
    <row r="13" customFormat="false" ht="12.8" hidden="false" customHeight="false" outlineLevel="0" collapsed="false">
      <c r="A13" s="1" t="n">
        <v>4</v>
      </c>
      <c r="B13" s="8" t="n">
        <f aca="false">-PV($D$3/2,A13,0,$E$8/$E$9)</f>
        <v>0.91662133252468</v>
      </c>
      <c r="C13" s="5" t="n">
        <f aca="false">(A13/2)*B13</f>
        <v>1.83324266504936</v>
      </c>
    </row>
    <row r="14" customFormat="false" ht="13.95" hidden="false" customHeight="false" outlineLevel="0" collapsed="false">
      <c r="A14" s="1" t="s">
        <v>16</v>
      </c>
      <c r="C14" s="5" t="n">
        <f aca="false">SUM(C9:C13)</f>
        <v>1.93709731907559</v>
      </c>
    </row>
    <row r="16" customFormat="false" ht="12.75" hidden="false" customHeight="false" outlineLevel="0" collapsed="false">
      <c r="A16" s="2"/>
      <c r="B16" s="2"/>
      <c r="C16" s="2"/>
      <c r="D16" s="2"/>
      <c r="E16" s="2"/>
      <c r="F16" s="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1" right="1" top="1.66666666666667" bottom="1.66666666666667" header="1" footer="1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&amp;C&amp;"Sans,Regular"&amp;A</oddHeader>
    <oddFooter>&amp;C&amp;"Sans,Regular"Page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2020-03-30T15:43:14Z</dcterms:created>
  <dc:creator/>
  <dc:description/>
  <dc:language>en-US</dc:language>
  <cp:lastModifiedBy/>
  <dcterms:modified xsi:type="dcterms:W3CDTF">2020-09-06T18:03:46Z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1.1232</vt:lpwstr>
  </property>
</Properties>
</file>