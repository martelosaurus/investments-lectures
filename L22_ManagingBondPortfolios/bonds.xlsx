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480" windowHeight="7430"/>
  </bookViews>
  <sheets>
    <sheet name="Sheet1" sheetId="1" r:id="rId1"/>
    <sheet name="Sheet2" sheetId="2" r:id="rId2"/>
    <sheet name="Sheet3" sheetId="3" r:id="rId3"/>
  </sheets>
  <definedNames>
    <definedName name="_xlnm.Print_Area" localSheetId="0">#REF!</definedName>
    <definedName name="_xlnm.Sheet_Title" localSheetId="0">"Sheet1"</definedName>
    <definedName name="_xlnm.Print_Area" localSheetId="1">#REF!</definedName>
    <definedName name="_xlnm.Sheet_Title" localSheetId="1">"Sheet2"</definedName>
    <definedName name="_xlnm.Print_Area" localSheetId="2">#REF!</definedName>
    <definedName name="_xlnm.Sheet_Title" localSheetId="2">"Sheet3"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numFmts count="2">
    <numFmt formatCode="0.00000" numFmtId="100"/>
    <numFmt formatCode="0.0000" numFmtId="101"/>
  </numFmts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Sans"/>
      <vertAlign val="baseline"/>
      <sz val="10"/>
      <strike val="0"/>
    </font>
    <font>
      <b val="0"/>
      <i val="1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2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9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center" vertical="bottom" wrapText="0" shrinkToFit="0" textRotation="0" indent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</xf>
    <xf applyAlignment="1" applyBorder="1" applyFont="1" applyFill="1" applyNumberFormat="1" fontId="0" fillId="0" borderId="0" numFmtId="9" xfId="0">
      <alignment horizontal="general" vertical="bottom" wrapText="0" shrinkToFit="0" textRotation="0" indent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</xf>
    <xf applyAlignment="1" applyBorder="1" applyFont="1" applyFill="1" applyNumberFormat="1" fontId="0" fillId="0" borderId="1" numFmtId="0" xfId="0">
      <alignment horizontal="general" vertical="bottom" wrapText="0" shrinkToFit="0" textRotation="0" indent="0"/>
    </xf>
    <xf applyAlignment="1" applyBorder="1" applyFont="1" applyFill="1" applyNumberFormat="1" fontId="0" fillId="0" borderId="1" numFmtId="9" xfId="0">
      <alignment horizontal="general" vertical="bottom" wrapText="0" shrinkToFit="0" textRotation="0" indent="0"/>
    </xf>
    <xf applyAlignment="1" applyBorder="1" applyFont="1" applyFill="1" applyNumberFormat="1" fontId="0" fillId="0" borderId="0" numFmtId="101" xfId="0">
      <alignment horizontal="general" vertical="bottom" wrapText="0" shrinkToFit="0" textRotation="0" indent="0"/>
    </xf>
    <xf applyAlignment="1" applyBorder="1" applyFont="1" applyFill="1" applyNumberFormat="1" fontId="0" fillId="0" borderId="0" numFmtId="0" xfId="0">
      <alignment horizontal="right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19"/>
  <sheetViews>
    <sheetView workbookViewId="0" zoomScale="145" tabSelected="1">
      <selection activeCell="E3" sqref="E3"/>
    </sheetView>
  </sheetViews>
  <sheetFormatPr defaultRowHeight="12.75"/>
  <cols>
    <col min="1" max="1" style="0" width="18.324021883289127" customWidth="1"/>
    <col min="2" max="4" style="0" width="13.693758289124672" customWidth="1"/>
    <col min="5" max="6" style="0" width="18.324021883289127" customWidth="1"/>
    <col min="7" max="256" style="0" width="9.142307692307693"/>
  </cols>
  <sheetData>
    <row r="1" spans="1:6">
      <c r="A1" s="1" t="inlineStr">
        <is>
          <t>Portfolio Duration</t>
        </is>
      </c>
      <c r="B1" s="1"/>
      <c r="C1" s="1"/>
      <c r="D1" s="1"/>
      <c r="E1" s="1"/>
      <c r="F1" s="1"/>
    </row>
    <row r="2" spans="1:6" ht="13.965517241379311">
      <c r="A2" s="2" t="inlineStr">
        <is>
          <t>Description</t>
        </is>
      </c>
      <c r="B2" s="2" t="inlineStr">
        <is>
          <t>Term (yr)</t>
        </is>
      </c>
      <c r="C2" s="2" t="inlineStr">
        <is>
          <t>Coupon (%)</t>
        </is>
      </c>
      <c r="D2" s="2" t="inlineStr">
        <is>
          <t>Yield (%)</t>
        </is>
      </c>
      <c r="E2" s="2" t="inlineStr">
        <is>
          <t>Value (V1, V2, ... )</t>
        </is>
      </c>
      <c r="F2" s="2" t="inlineStr">
        <is>
          <t>Duration (D1, D2, ... )</t>
        </is>
      </c>
    </row>
    <row r="3" spans="1:6" ht="13.965517241379311">
      <c r="A3" t="inlineStr">
        <is>
          <t>T-Note</t>
        </is>
      </c>
      <c r="B3">
        <v>4</v>
      </c>
      <c r="C3" s="3">
        <v>0.080000000000000002</v>
      </c>
      <c r="D3" s="3">
        <v>0.050000000000000003</v>
      </c>
      <c r="E3">
        <v>120</v>
      </c>
      <c r="F3" s="4">
        <f>C17</f>
        <v>3.5300559290742912</v>
      </c>
    </row>
    <row r="4" spans="1:6" ht="13.965517241379311">
      <c r="A4" s="5" t="inlineStr">
        <is>
          <t>Zero Coupon Bond</t>
        </is>
      </c>
      <c r="B4" s="5">
        <v>4</v>
      </c>
      <c r="C4" s="6">
        <v>0</v>
      </c>
      <c r="D4" s="6">
        <v>0.040000000000000001</v>
      </c>
      <c r="E4" s="5">
        <v>-100</v>
      </c>
      <c r="F4" s="5">
        <v>4</v>
      </c>
    </row>
    <row r="5" spans="1:6" ht="13.965517241379311">
      <c r="A5" t="inlineStr">
        <is>
          <t>Portfolio</t>
        </is>
      </c>
      <c r="E5">
        <f>SUM(E3:E4)</f>
        <v>20</v>
      </c>
      <c r="F5" s="7">
        <f>(E3/$E$5)*F3+(E4/$E$5)*F4</f>
        <v>1.1803355744457491</v>
      </c>
    </row>
    <row r="7" spans="1:6" ht="13.965517241379311">
      <c r="A7" s="1" t="inlineStr">
        <is>
          <t>T-Note Calculation</t>
        </is>
      </c>
      <c r="B7" s="1"/>
      <c r="C7" s="1"/>
      <c r="D7" s="1"/>
      <c r="E7" s="1"/>
      <c r="F7" s="1"/>
    </row>
    <row r="8" spans="1:6" ht="13.965517241379311">
      <c r="A8" s="2" t="inlineStr">
        <is>
          <t>NPER</t>
        </is>
      </c>
      <c r="B8" s="2" t="inlineStr">
        <is>
          <t>Weight</t>
        </is>
      </c>
      <c r="C8" s="2" t="inlineStr">
        <is>
          <t>Intermediate</t>
        </is>
      </c>
      <c r="D8" s="8" t="inlineStr">
        <is>
          <t>F</t>
        </is>
      </c>
      <c r="E8" s="7">
        <v>100</v>
      </c>
    </row>
    <row r="9" spans="1:6" ht="13.965517241379311">
      <c r="A9">
        <v>1</v>
      </c>
      <c r="B9" s="7">
        <f>-PV($D$3/2,A9,0,$E$8/$E$9)</f>
        <v>0.88087033876225962</v>
      </c>
      <c r="C9" s="4">
        <f>(A9/2)*($C$3/2)*B9</f>
        <v>0.017617406775245193</v>
      </c>
      <c r="D9" s="8" t="inlineStr">
        <is>
          <t>P</t>
        </is>
      </c>
      <c r="E9" s="7">
        <f>-PV(D3/2,B3*2,C3*E8/2,E8)</f>
        <v>110.7552057512145</v>
      </c>
    </row>
    <row r="10" spans="1:6" ht="13.965517241379311">
      <c r="A10">
        <v>2</v>
      </c>
      <c r="B10" s="7">
        <f>-PV($D$3/2,A10,0,$E$8/$E$9)</f>
        <v>0.85938569635342421</v>
      </c>
      <c r="C10" s="4">
        <f>(A10/2)*($C$3/2)*B10</f>
        <v>0.03437542785413697</v>
      </c>
    </row>
    <row r="11" spans="1:6" ht="13.965517241379311">
      <c r="A11">
        <v>3</v>
      </c>
      <c r="B11" s="7">
        <f>-PV($D$3/2,A11,0,$E$8/$E$9)</f>
        <v>0.83842506961309682</v>
      </c>
      <c r="C11" s="4">
        <f>(A11/2)*($C$3/2)*B11</f>
        <v>0.050305504176785809</v>
      </c>
    </row>
    <row r="12" spans="1:6" ht="13.965517241379311">
      <c r="A12">
        <v>4</v>
      </c>
      <c r="B12" s="7">
        <f>-PV($D$3/2,A12,0,$E$8/$E$9)</f>
        <v>0.81797567767131385</v>
      </c>
      <c r="C12" s="4">
        <f>(A12/2)*($C$3/2)*B12</f>
        <v>0.065438054213705105</v>
      </c>
      <c r="D12"/>
    </row>
    <row r="13" spans="1:6" ht="13.965517241379311">
      <c r="A13">
        <v>5</v>
      </c>
      <c r="B13" s="7">
        <f>-PV($D$3/2,A13,0,$E$8/$E$9)</f>
        <v>0.79802505138664759</v>
      </c>
      <c r="C13" s="4">
        <f>(A13/2)*($C$3/2)*B13</f>
        <v>0.07980250513866477</v>
      </c>
    </row>
    <row r="14" spans="1:6" ht="13.965517241379311">
      <c r="A14">
        <v>6</v>
      </c>
      <c r="B14" s="7">
        <f>-PV($D$3/2,A14,0,$E$8/$E$9)</f>
        <v>0.77856102574307096</v>
      </c>
      <c r="C14" s="4">
        <f>(A14/2)*($C$3/2)*B14</f>
        <v>0.093427323089168512</v>
      </c>
    </row>
    <row r="15" spans="1:6" ht="13.965517241379311">
      <c r="A15">
        <v>7</v>
      </c>
      <c r="B15" s="7">
        <f>-PV($D$3/2,A15,0,$E$8/$E$9)</f>
        <v>0.75957173243226428</v>
      </c>
      <c r="C15" s="4">
        <f>(A15/2)*($C$3/2)*B15</f>
        <v>0.10634004254051702</v>
      </c>
    </row>
    <row r="16" spans="1:6" ht="13.965517241379311">
      <c r="A16">
        <v>8</v>
      </c>
      <c r="B16" s="7">
        <f>-PV($D$3/2,A16,0,$E$8/$E$9)</f>
        <v>0.74104559261684322</v>
      </c>
      <c r="C16" s="4">
        <f>(A16/2)*($C$3/2+1)*B16</f>
        <v>3.0827496652860678</v>
      </c>
    </row>
    <row r="17" spans="1:6" ht="13.965517241379311">
      <c r="A17" t="inlineStr">
        <is>
          <t>Duration</t>
        </is>
      </c>
      <c r="C17" s="4">
        <f>SUM(C9:C16)</f>
        <v>3.5300559290742912</v>
      </c>
    </row>
    <row r="19" spans="1:6">
      <c r="A19" s="1"/>
      <c r="B19" s="1"/>
      <c r="C19" s="1"/>
      <c r="D19" s="1"/>
      <c r="E19" s="1"/>
      <c r="F19" s="1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orientation="portrait" pageOrder="downThenOver" paperSize="1" scale="100" useFirstPageNumber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RowHeight="12.75"/>
  <cols>
    <col min="1" max="1" style="0" width="9.142307692307693"/>
    <col min="2" max="256" style="0" width="9.142307692307693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orientation="portrait" pageOrder="downThenOver" paperSize="1" scale="100" useFirstPageNumb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"/>
  <sheetViews>
    <sheetView workbookViewId="0">
      <selection activeCell="A1" sqref="A1"/>
    </sheetView>
  </sheetViews>
  <sheetFormatPr defaultRowHeight="12.75"/>
  <cols>
    <col min="1" max="1" style="0" width="9.142307692307693"/>
    <col min="2" max="256" style="0" width="9.142307692307693"/>
  </cols>
  <sheetData/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1.1232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2020-03-30T16:27:31Z</dcterms:modified>
  <dcterms:created xsi:type="dcterms:W3CDTF">2020-03-30T15:43:14Z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