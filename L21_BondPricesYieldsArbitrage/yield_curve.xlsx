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Zero" sheetId="1" state="visible" r:id="rId2"/>
    <sheet name="Forward" sheetId="2" state="visible" r:id="rId3"/>
    <sheet name="YTM" sheetId="3" state="visible" r:id="rId4"/>
    <sheet name="YTM_HW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<sst xmlns="http://schemas.openxmlformats.org/spreadsheetml/2006/main" count="28" uniqueCount="17">
  <si>
    <t xml:space="preserve">Months</t>
  </si>
  <si>
    <t xml:space="preserve">Period</t>
  </si>
  <si>
    <t xml:space="preserve">Par Rate</t>
  </si>
  <si>
    <t xml:space="preserve">Zero Rate</t>
  </si>
  <si>
    <t xml:space="preserve">Cash Flows</t>
  </si>
  <si>
    <t xml:space="preserve">PV</t>
  </si>
  <si>
    <t xml:space="preserve">6-month zero rate today</t>
  </si>
  <si>
    <t xml:space="preserve">0z1</t>
  </si>
  <si>
    <t xml:space="preserve">Rollover</t>
  </si>
  <si>
    <t xml:space="preserve">Buy-and-Hold</t>
  </si>
  <si>
    <t xml:space="preserve">12-month zero rate today</t>
  </si>
  <si>
    <t xml:space="preserve">0z2</t>
  </si>
  <si>
    <t xml:space="preserve">6-month zero rate in 6 months</t>
  </si>
  <si>
    <t xml:space="preserve">1z1</t>
  </si>
  <si>
    <t xml:space="preserve">Cash Flow</t>
  </si>
  <si>
    <t xml:space="preserve">Total PV</t>
  </si>
  <si>
    <t xml:space="preserve">YTM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</si>
</sst>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[$$-409]#,##0.0000;[RED]\-[$$-409]#,##0.0000"/>
    <numFmt numFmtId="167" formatCode="0.0000%"/>
    <numFmt numFmtId="168" formatCode="[$$-409]#,##0.00;[RED]\-[$$-409]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F12" activeCellId="0" sqref="F1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6</v>
      </c>
      <c r="B2" s="0" t="n">
        <v>1</v>
      </c>
      <c r="C2" s="1" t="n">
        <v>0.002</v>
      </c>
      <c r="D2" s="1" t="n">
        <f aca="false">C2</f>
        <v>0.002</v>
      </c>
      <c r="E2" s="0" t="n">
        <f aca="false">1*$C$3/2</f>
        <v>0.0015</v>
      </c>
      <c r="F2" s="2" t="n">
        <f aca="false">-PV(D2/2,B2,0,E2)</f>
        <v>0.0014985014985015</v>
      </c>
    </row>
    <row r="3" customFormat="false" ht="12.8" hidden="false" customHeight="false" outlineLevel="0" collapsed="false">
      <c r="A3" s="0" t="n">
        <v>12</v>
      </c>
      <c r="B3" s="0" t="n">
        <v>2</v>
      </c>
      <c r="C3" s="1" t="n">
        <v>0.003</v>
      </c>
      <c r="D3" s="1" t="n">
        <f aca="false">0.003</f>
        <v>0.003</v>
      </c>
      <c r="E3" s="0" t="n">
        <f aca="false">1+1*$C$3/2</f>
        <v>1.0015</v>
      </c>
      <c r="F3" s="2" t="n">
        <f aca="false">-PV(D3/2,B3,0,E3)</f>
        <v>0.998502246630055</v>
      </c>
    </row>
    <row r="4" customFormat="false" ht="12.8" hidden="false" customHeight="false" outlineLevel="0" collapsed="false">
      <c r="F4" s="2" t="n">
        <f aca="false">SUM(F2:F3)</f>
        <v>1.00000074812856</v>
      </c>
    </row>
    <row r="11" customFormat="false" ht="12.8" hidden="false" customHeight="false" outlineLevel="0" collapsed="false">
      <c r="F11" s="2" t="n">
        <f aca="false">PV(2.898/200,11,4.25/2,100)</f>
        <v>-106.828134489865</v>
      </c>
    </row>
    <row r="12" customFormat="false" ht="12.8" hidden="false" customHeight="false" outlineLevel="0" collapsed="false">
      <c r="F12" s="2" t="n">
        <f aca="false">PV(1.5/100,48/6,0,100)</f>
        <v>-88.7711123800987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3" activeCellId="0" sqref="C3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6</v>
      </c>
      <c r="B1" s="0" t="s">
        <v>7</v>
      </c>
      <c r="C1" s="1" t="n">
        <v>0.002</v>
      </c>
      <c r="E1" s="0" t="s">
        <v>8</v>
      </c>
      <c r="F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1" t="n">
        <v>0.003</v>
      </c>
      <c r="E2" s="3" t="n">
        <f aca="false">(1+C1/2)*(1+C3/2)-1</f>
        <v>0.00300225000000021</v>
      </c>
      <c r="F2" s="3" t="n">
        <f aca="false">(1+C2/2)^2-1</f>
        <v>0.00300225000000021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1" t="n">
        <f aca="false">2*(((1+C2/2)^2)/(1+C1/2)-1)</f>
        <v>0.00400049950050008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G7" activeCellId="0" sqref="G7"/>
    </sheetView>
  </sheetViews>
  <sheetFormatPr defaultRowHeight="12.8" zeroHeight="false" outlineLevelRow="0" outlineLevelCol="0"/>
  <cols>
    <col collapsed="false" customWidth="false" hidden="false" outlineLevel="0" max="1025" min="1" style="4" width="11.52"/>
  </cols>
  <sheetData>
    <row r="1" customFormat="false" ht="12.8" hidden="false" customHeight="false" outlineLevel="0" collapsed="false">
      <c r="A1" s="5" t="s">
        <v>0</v>
      </c>
      <c r="B1" s="5" t="s">
        <v>1</v>
      </c>
      <c r="C1" s="5" t="s">
        <v>3</v>
      </c>
      <c r="D1" s="5" t="s">
        <v>14</v>
      </c>
      <c r="E1" s="5" t="s">
        <v>5</v>
      </c>
      <c r="F1" s="5"/>
      <c r="G1" s="5" t="s">
        <v>15</v>
      </c>
      <c r="I1" s="5" t="s">
        <v>16</v>
      </c>
    </row>
    <row r="2" customFormat="false" ht="12.8" hidden="false" customHeight="false" outlineLevel="0" collapsed="false">
      <c r="A2" s="4" t="n">
        <f aca="false">B2*6</f>
        <v>6</v>
      </c>
      <c r="B2" s="4" t="n">
        <v>1</v>
      </c>
      <c r="C2" s="6" t="n">
        <v>0.01</v>
      </c>
      <c r="D2" s="4" t="n">
        <v>100</v>
      </c>
      <c r="E2" s="7" t="n">
        <f aca="false">-PV(C2/2,B2,0,D2)</f>
        <v>99.5024875621891</v>
      </c>
      <c r="F2" s="4" t="str">
        <f aca="false">_xlfn.FORMULATEXT(E2)</f>
        <v>=-PV(C2/2,B2,0,D2)</v>
      </c>
      <c r="G2" s="8" t="n">
        <f aca="false">SUM(E2:E5)</f>
        <v>1297.12857565866</v>
      </c>
      <c r="H2" s="4" t="str">
        <f aca="false">_xlfn.FORMULATEXT(G2)</f>
        <v>=SUM(E2:E5)</v>
      </c>
      <c r="I2" s="6" t="n">
        <f aca="false">2*RATE(B5,D2,-G2,D5-D2)</f>
        <v>0.0433072002644564</v>
      </c>
    </row>
    <row r="3" customFormat="false" ht="12.8" hidden="false" customHeight="false" outlineLevel="0" collapsed="false">
      <c r="A3" s="4" t="n">
        <f aca="false">B3*6</f>
        <v>12</v>
      </c>
      <c r="B3" s="4" t="n">
        <v>2</v>
      </c>
      <c r="C3" s="6" t="n">
        <v>0.03</v>
      </c>
      <c r="D3" s="4" t="n">
        <v>100</v>
      </c>
      <c r="E3" s="7" t="n">
        <f aca="false">-PV(C3/2,B3,0,D3)</f>
        <v>97.0661748647141</v>
      </c>
      <c r="F3" s="4" t="str">
        <f aca="false">_xlfn.FORMULATEXT(E3)</f>
        <v>=-PV(C3/2,B3,0,D3)</v>
      </c>
    </row>
    <row r="4" customFormat="false" ht="12.8" hidden="false" customHeight="false" outlineLevel="0" collapsed="false">
      <c r="A4" s="4" t="n">
        <f aca="false">B4*6</f>
        <v>18</v>
      </c>
      <c r="B4" s="4" t="n">
        <v>3</v>
      </c>
      <c r="C4" s="6" t="n">
        <v>0.04</v>
      </c>
      <c r="D4" s="4" t="n">
        <v>100</v>
      </c>
      <c r="E4" s="7" t="n">
        <f aca="false">-PV(C4/2,B4,0,D4)</f>
        <v>94.2322334547045</v>
      </c>
      <c r="F4" s="4" t="str">
        <f aca="false">_xlfn.FORMULATEXT(E4)</f>
        <v>=-PV(C4/2,B4,0,D4)</v>
      </c>
    </row>
    <row r="5" customFormat="false" ht="12.8" hidden="false" customHeight="false" outlineLevel="0" collapsed="false">
      <c r="A5" s="4" t="n">
        <f aca="false">B5*6</f>
        <v>24</v>
      </c>
      <c r="B5" s="4" t="n">
        <v>4</v>
      </c>
      <c r="C5" s="6" t="n">
        <v>0.045</v>
      </c>
      <c r="D5" s="4" t="n">
        <v>1100</v>
      </c>
      <c r="E5" s="7" t="n">
        <f aca="false">-PV(C5/2,B5,0,D5)</f>
        <v>1006.32767977706</v>
      </c>
      <c r="F5" s="4" t="str">
        <f aca="false">_xlfn.FORMULATEXT(E5)</f>
        <v>=-PV(C5/2,B5,0,D5)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4" activeCellId="0" sqref="B14"/>
    </sheetView>
  </sheetViews>
  <sheetFormatPr defaultRowHeight="12.8" zeroHeight="false" outlineLevelRow="0" outlineLevelCol="0"/>
  <cols>
    <col collapsed="false" customWidth="false" hidden="false" outlineLevel="0" max="1025" min="1" style="9" width="11.52"/>
  </cols>
  <sheetData>
    <row r="1" customFormat="false" ht="12.8" hidden="false" customHeight="false" outlineLevel="0" collapsed="false">
      <c r="A1" s="10" t="s">
        <v>0</v>
      </c>
      <c r="B1" s="10" t="s">
        <v>1</v>
      </c>
      <c r="C1" s="10" t="s">
        <v>3</v>
      </c>
      <c r="D1" s="11" t="s">
        <v>14</v>
      </c>
      <c r="E1" s="11" t="s">
        <v>5</v>
      </c>
      <c r="F1" s="11" t="s">
        <v>15</v>
      </c>
      <c r="G1" s="11" t="s">
        <v>16</v>
      </c>
    </row>
    <row r="2" customFormat="false" ht="12.8" hidden="false" customHeight="false" outlineLevel="0" collapsed="false">
      <c r="A2" s="12" t="n">
        <f aca="false">B2*6</f>
        <v>6</v>
      </c>
      <c r="B2" s="12" t="n">
        <v>1</v>
      </c>
      <c r="C2" s="13" t="n">
        <f aca="false">C3-B2/1000</f>
        <v>0.002</v>
      </c>
      <c r="D2" s="9" t="n">
        <v>50</v>
      </c>
      <c r="E2" s="7" t="n">
        <f aca="false">-PV(C2/2,B2,0,D2)</f>
        <v>49.95004995005</v>
      </c>
      <c r="F2" s="8" t="n">
        <f aca="false">SUM(E2:E9)</f>
        <v>1272.93661363165</v>
      </c>
      <c r="G2" s="14" t="n">
        <f aca="false">2*RATE(B9,D2,-F2,D9-D2)</f>
        <v>0.027479804543368</v>
      </c>
    </row>
    <row r="3" customFormat="false" ht="12.8" hidden="false" customHeight="false" outlineLevel="0" collapsed="false">
      <c r="A3" s="12" t="n">
        <f aca="false">B3*6</f>
        <v>12</v>
      </c>
      <c r="B3" s="12" t="n">
        <v>2</v>
      </c>
      <c r="C3" s="13" t="n">
        <f aca="false">C4-B3/1000</f>
        <v>0.003</v>
      </c>
      <c r="D3" s="9" t="n">
        <v>50</v>
      </c>
      <c r="E3" s="7" t="n">
        <f aca="false">-PV(C3/2,B3,0,D3)</f>
        <v>49.8503368262633</v>
      </c>
      <c r="F3" s="4"/>
      <c r="G3" s="4"/>
    </row>
    <row r="4" customFormat="false" ht="12.8" hidden="false" customHeight="false" outlineLevel="0" collapsed="false">
      <c r="A4" s="12" t="n">
        <f aca="false">B4*6</f>
        <v>18</v>
      </c>
      <c r="B4" s="12" t="n">
        <v>3</v>
      </c>
      <c r="C4" s="13" t="n">
        <f aca="false">C5-B4/1000</f>
        <v>0.005</v>
      </c>
      <c r="D4" s="9" t="n">
        <v>50</v>
      </c>
      <c r="E4" s="7" t="n">
        <f aca="false">-PV(C4/2,B4,0,D4)</f>
        <v>49.6268672166947</v>
      </c>
      <c r="F4" s="4"/>
      <c r="G4" s="4"/>
    </row>
    <row r="5" customFormat="false" ht="12.8" hidden="false" customHeight="false" outlineLevel="0" collapsed="false">
      <c r="A5" s="12" t="n">
        <f aca="false">B5*6</f>
        <v>24</v>
      </c>
      <c r="B5" s="12" t="n">
        <v>4</v>
      </c>
      <c r="C5" s="13" t="n">
        <f aca="false">C6-B5/1000</f>
        <v>0.008</v>
      </c>
      <c r="D5" s="9" t="n">
        <v>50</v>
      </c>
      <c r="E5" s="7" t="n">
        <f aca="false">-PV(C5/2,B5,0,D5)</f>
        <v>49.2079364451499</v>
      </c>
      <c r="F5" s="4"/>
      <c r="G5" s="4"/>
    </row>
    <row r="6" customFormat="false" ht="12.8" hidden="false" customHeight="false" outlineLevel="0" collapsed="false">
      <c r="A6" s="12" t="n">
        <f aca="false">B6*6</f>
        <v>30</v>
      </c>
      <c r="B6" s="12" t="n">
        <v>5</v>
      </c>
      <c r="C6" s="13" t="n">
        <f aca="false">C7-B6/1000</f>
        <v>0.012</v>
      </c>
      <c r="D6" s="9" t="n">
        <v>50</v>
      </c>
      <c r="E6" s="7" t="n">
        <f aca="false">-PV(C6/2,B6,0,D6)</f>
        <v>48.5266264874965</v>
      </c>
      <c r="F6" s="4"/>
      <c r="G6" s="4"/>
    </row>
    <row r="7" customFormat="false" ht="12.8" hidden="false" customHeight="false" outlineLevel="0" collapsed="false">
      <c r="A7" s="12" t="n">
        <f aca="false">B7*6</f>
        <v>36</v>
      </c>
      <c r="B7" s="12" t="n">
        <v>6</v>
      </c>
      <c r="C7" s="13" t="n">
        <f aca="false">C8-B7/1000</f>
        <v>0.017</v>
      </c>
      <c r="D7" s="9" t="n">
        <v>50</v>
      </c>
      <c r="E7" s="7" t="n">
        <f aca="false">-PV(C7/2,B7,0,D7)</f>
        <v>47.524175285912</v>
      </c>
      <c r="F7" s="4"/>
      <c r="G7" s="4"/>
    </row>
    <row r="8" customFormat="false" ht="12.8" hidden="false" customHeight="false" outlineLevel="0" collapsed="false">
      <c r="A8" s="12" t="n">
        <f aca="false">B8*6</f>
        <v>42</v>
      </c>
      <c r="B8" s="12" t="n">
        <v>7</v>
      </c>
      <c r="C8" s="13" t="n">
        <f aca="false">C9-B8/1000</f>
        <v>0.023</v>
      </c>
      <c r="D8" s="9" t="n">
        <v>50</v>
      </c>
      <c r="E8" s="7" t="n">
        <f aca="false">-PV(C8/2,B8,0,D8)</f>
        <v>46.1539414290473</v>
      </c>
      <c r="F8" s="4"/>
      <c r="G8" s="4"/>
    </row>
    <row r="9" customFormat="false" ht="12.8" hidden="false" customHeight="false" outlineLevel="0" collapsed="false">
      <c r="A9" s="12" t="n">
        <f aca="false">B9*6</f>
        <v>48</v>
      </c>
      <c r="B9" s="12" t="n">
        <v>8</v>
      </c>
      <c r="C9" s="13" t="n">
        <v>0.03</v>
      </c>
      <c r="D9" s="9" t="n">
        <v>1050</v>
      </c>
      <c r="E9" s="7" t="n">
        <f aca="false">-PV(C9/2,B9,0,D9)</f>
        <v>932.096679991036</v>
      </c>
      <c r="F9" s="4"/>
      <c r="G9" s="4"/>
    </row>
    <row r="10" customFormat="false" ht="12.8" hidden="false" customHeight="false" outlineLevel="0" collapsed="false">
      <c r="E10" s="4"/>
      <c r="F10" s="4"/>
      <c r="G10" s="4"/>
    </row>
    <row r="12" customFormat="false" ht="12.8" hidden="false" customHeight="false" outlineLevel="0" collapsed="false">
      <c r="A12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2020-09-01T15:50:14Z</dcterms:created>
  <dc:creator/>
  <dc:description/>
  <dc:language>en-US</dc:language>
  <cp:lastModifiedBy/>
  <dcterms:modified xsi:type="dcterms:W3CDTF">2020-09-01T17:04:57Z</dcterms:modified>
  <cp:revision>3</cp:revision>
  <dc:subject/>
  <dc:title/>
</cp:coreProperties>
</file>